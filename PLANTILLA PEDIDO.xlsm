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unior\borrador\"/>
    </mc:Choice>
  </mc:AlternateContent>
  <xr:revisionPtr revIDLastSave="0" documentId="13_ncr:1_{6543854A-7574-42CC-A90C-7794D9723A6A}" xr6:coauthVersionLast="47" xr6:coauthVersionMax="47" xr10:uidLastSave="{00000000-0000-0000-0000-000000000000}"/>
  <bookViews>
    <workbookView xWindow="-120" yWindow="-120" windowWidth="29040" windowHeight="15720" xr2:uid="{CA3C6921-C770-4148-9A99-C2B1F27BF76D}"/>
  </bookViews>
  <sheets>
    <sheet name="Pedido" sheetId="1" r:id="rId1"/>
    <sheet name="Registro" sheetId="7" r:id="rId2"/>
    <sheet name="Proveedores" sheetId="2" state="hidden" r:id="rId3"/>
    <sheet name="Categorias" sheetId="6" state="hidden" r:id="rId4"/>
    <sheet name="Productos" sheetId="3" r:id="rId5"/>
  </sheets>
  <definedNames>
    <definedName name="_xlnm.Print_Area" localSheetId="0">Pedido!$A$1:$F$53</definedName>
    <definedName name="GINEBRAS">GINEBRA[GINEBRAS]</definedName>
    <definedName name="GINEBRAS_ALMACENES_MOURE">Productos!$S$2:$S$35</definedName>
    <definedName name="GINEBRAS_CASH">Productos!$S$36:$S$65</definedName>
    <definedName name="LICORES">LICOR[LICORES]</definedName>
    <definedName name="LICORES_ALMACENES_MOURE">Productos!$AE$2:$AE$18</definedName>
    <definedName name="LICORES_CASH">Productos!$AE$19:$AE$36</definedName>
    <definedName name="Proveedor">Proveedores!$A$2:$A$5</definedName>
    <definedName name="RONES">RON[RONES]</definedName>
    <definedName name="RONES_ALMACENES_MOURE">Productos!$A$2:$A$39</definedName>
    <definedName name="RONES_CASH">Productos!$A$40:$A$131</definedName>
    <definedName name="TEQUILAS">TEQUILA[TEQUILAS]</definedName>
    <definedName name="TEQUILAS_ALMACENES_MOURE">Productos!$Y$2:$Y$17</definedName>
    <definedName name="TEQUILAS_CASH">Productos!$Y$18:$Y$37</definedName>
    <definedName name="VERMOUTHS">VERMOUTH[VERMOUTHS]</definedName>
    <definedName name="VERMOUTHS_ALMACENES_MOURE">Productos!$AK$2:$AK$16</definedName>
    <definedName name="VERMOUTHS_CASH">Productos!$AK$17:$AK$23</definedName>
    <definedName name="VODKAS">VODKA[VODKAS]</definedName>
    <definedName name="VODKAS_ALMACENES_MOURE">Productos!$G$2:$G$15</definedName>
    <definedName name="VODKAS_CASH">Productos!$G$16:$G$32</definedName>
    <definedName name="WHISKYS">WHISKY[WHISKYS]</definedName>
    <definedName name="WHISKYS_ALMACENES_MOURE">Productos!$M$2:$M$39</definedName>
    <definedName name="WHISKYS_CASH">Productos!$M$40:$M$62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3" i="1" l="1" a="1"/>
  <c r="D53" i="1" s="1"/>
  <c r="E53" i="1" s="1"/>
  <c r="D52" i="1" a="1"/>
  <c r="D52" i="1" s="1"/>
  <c r="E52" i="1" s="1"/>
  <c r="D51" i="1" a="1"/>
  <c r="D51" i="1" s="1"/>
  <c r="E51" i="1" s="1"/>
  <c r="D50" i="1" a="1"/>
  <c r="D50" i="1" s="1"/>
  <c r="E50" i="1" s="1"/>
  <c r="D49" i="1" a="1"/>
  <c r="D49" i="1" s="1"/>
  <c r="E49" i="1" s="1"/>
  <c r="D48" i="1" a="1"/>
  <c r="D48" i="1" s="1"/>
  <c r="E48" i="1" s="1"/>
  <c r="D47" i="1" a="1"/>
  <c r="D47" i="1" s="1"/>
  <c r="E47" i="1" s="1"/>
  <c r="D46" i="1" a="1"/>
  <c r="D46" i="1" s="1"/>
  <c r="E46" i="1" s="1"/>
  <c r="D45" i="1" a="1"/>
  <c r="D45" i="1" s="1"/>
  <c r="E45" i="1" s="1"/>
  <c r="D44" i="1" a="1"/>
  <c r="D44" i="1" s="1"/>
  <c r="E44" i="1" s="1"/>
  <c r="D43" i="1" a="1"/>
  <c r="D43" i="1" s="1"/>
  <c r="E43" i="1" s="1"/>
  <c r="D42" i="1" a="1"/>
  <c r="D42" i="1" s="1"/>
  <c r="E42" i="1" s="1"/>
  <c r="D41" i="1" a="1"/>
  <c r="D41" i="1" s="1"/>
  <c r="E41" i="1" s="1"/>
  <c r="D40" i="1" a="1"/>
  <c r="D40" i="1" s="1"/>
  <c r="E40" i="1" s="1"/>
  <c r="D39" i="1" a="1"/>
  <c r="D39" i="1" s="1"/>
  <c r="E39" i="1" s="1"/>
  <c r="D38" i="1" a="1"/>
  <c r="D38" i="1" s="1"/>
  <c r="E38" i="1" s="1"/>
  <c r="D37" i="1" a="1"/>
  <c r="D37" i="1" s="1"/>
  <c r="E37" i="1" s="1"/>
  <c r="D36" i="1" a="1"/>
  <c r="D36" i="1" s="1"/>
  <c r="E36" i="1" s="1"/>
  <c r="D35" i="1" a="1"/>
  <c r="D35" i="1" s="1"/>
  <c r="E35" i="1" s="1"/>
  <c r="D34" i="1" a="1"/>
  <c r="D34" i="1" s="1"/>
  <c r="E34" i="1" s="1"/>
  <c r="D33" i="1" a="1"/>
  <c r="D33" i="1" s="1"/>
  <c r="E33" i="1" s="1"/>
  <c r="D32" i="1" a="1"/>
  <c r="D32" i="1" s="1"/>
  <c r="E32" i="1" s="1"/>
  <c r="D31" i="1" a="1"/>
  <c r="D31" i="1" s="1"/>
  <c r="E31" i="1" s="1"/>
  <c r="D30" i="1" a="1"/>
  <c r="D30" i="1" s="1"/>
  <c r="E30" i="1" s="1"/>
  <c r="D29" i="1" a="1"/>
  <c r="D29" i="1" s="1"/>
  <c r="E29" i="1" s="1"/>
  <c r="D28" i="1" a="1"/>
  <c r="D28" i="1" s="1"/>
  <c r="E28" i="1" s="1"/>
  <c r="D27" i="1" a="1"/>
  <c r="D27" i="1" s="1"/>
  <c r="E27" i="1" s="1"/>
  <c r="D26" i="1" a="1"/>
  <c r="D26" i="1" s="1"/>
  <c r="E26" i="1" s="1"/>
  <c r="D25" i="1" a="1"/>
  <c r="D25" i="1" s="1"/>
  <c r="E25" i="1" s="1"/>
  <c r="D24" i="1" a="1"/>
  <c r="D24" i="1" s="1"/>
  <c r="E24" i="1" s="1"/>
  <c r="D23" i="1" a="1"/>
  <c r="D23" i="1" s="1"/>
  <c r="E23" i="1" s="1"/>
  <c r="D22" i="1" a="1"/>
  <c r="D22" i="1" s="1"/>
  <c r="E22" i="1" s="1"/>
  <c r="D21" i="1" a="1"/>
  <c r="D21" i="1" s="1"/>
  <c r="E21" i="1" s="1"/>
  <c r="D20" i="1" a="1"/>
  <c r="D20" i="1" s="1"/>
  <c r="E20" i="1" s="1"/>
  <c r="D19" i="1" a="1"/>
  <c r="D19" i="1" s="1"/>
  <c r="E19" i="1" s="1"/>
  <c r="D18" i="1" a="1"/>
  <c r="D18" i="1" s="1"/>
  <c r="E18" i="1" s="1"/>
  <c r="N25" i="1" l="1" a="1"/>
  <c r="N25" i="1" s="1"/>
  <c r="N24" i="1" a="1"/>
  <c r="N24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31" i="1" a="1"/>
  <c r="N31" i="1" s="1"/>
  <c r="N32" i="1" a="1"/>
  <c r="N32" i="1" s="1"/>
  <c r="N33" i="1" a="1"/>
  <c r="N33" i="1" s="1"/>
  <c r="N34" i="1" a="1"/>
  <c r="N34" i="1" s="1"/>
  <c r="N35" i="1" a="1"/>
  <c r="N35" i="1" s="1"/>
  <c r="N36" i="1" a="1"/>
  <c r="N36" i="1" s="1"/>
  <c r="O25" i="1" l="1"/>
  <c r="O32" i="1"/>
  <c r="O35" i="1"/>
  <c r="O36" i="1"/>
  <c r="O24" i="1"/>
  <c r="O31" i="1"/>
  <c r="O26" i="1"/>
  <c r="O34" i="1"/>
  <c r="O29" i="1"/>
  <c r="O30" i="1"/>
  <c r="O27" i="1"/>
  <c r="O33" i="1"/>
  <c r="O28" i="1"/>
  <c r="N53" i="1" a="1"/>
  <c r="N53" i="1" s="1"/>
  <c r="N52" i="1" a="1"/>
  <c r="N52" i="1" s="1"/>
  <c r="N51" i="1" a="1"/>
  <c r="N51" i="1" s="1"/>
  <c r="N50" i="1" a="1"/>
  <c r="N50" i="1" s="1"/>
  <c r="N49" i="1" a="1"/>
  <c r="N49" i="1" s="1"/>
  <c r="N48" i="1" a="1"/>
  <c r="N48" i="1" s="1"/>
  <c r="N47" i="1" a="1"/>
  <c r="N47" i="1" s="1"/>
  <c r="N46" i="1" a="1"/>
  <c r="N46" i="1" s="1"/>
  <c r="N45" i="1" a="1"/>
  <c r="N45" i="1" s="1"/>
  <c r="N44" i="1" a="1"/>
  <c r="N44" i="1" s="1"/>
  <c r="N43" i="1" a="1"/>
  <c r="N43" i="1" s="1"/>
  <c r="N42" i="1" a="1"/>
  <c r="N42" i="1" s="1"/>
  <c r="N41" i="1" a="1"/>
  <c r="N41" i="1" s="1"/>
  <c r="N40" i="1" a="1"/>
  <c r="N40" i="1" s="1"/>
  <c r="N39" i="1" a="1"/>
  <c r="N39" i="1" s="1"/>
  <c r="N38" i="1" a="1"/>
  <c r="N38" i="1" s="1"/>
  <c r="N37" i="1" a="1"/>
  <c r="N37" i="1" s="1"/>
  <c r="N23" i="1" a="1"/>
  <c r="N23" i="1" s="1"/>
  <c r="N22" i="1" a="1"/>
  <c r="N22" i="1" s="1"/>
  <c r="N21" i="1" a="1"/>
  <c r="N21" i="1" s="1"/>
  <c r="N20" i="1" a="1"/>
  <c r="N20" i="1" s="1"/>
  <c r="N19" i="1" a="1"/>
  <c r="N19" i="1" s="1"/>
  <c r="N18" i="1" a="1"/>
  <c r="N18" i="1" s="1"/>
  <c r="O42" i="1" l="1"/>
  <c r="O18" i="1"/>
  <c r="O43" i="1"/>
  <c r="O44" i="1"/>
  <c r="O19" i="1"/>
  <c r="O45" i="1"/>
  <c r="O20" i="1"/>
  <c r="O46" i="1"/>
  <c r="O21" i="1"/>
  <c r="O47" i="1"/>
  <c r="O22" i="1"/>
  <c r="O48" i="1"/>
  <c r="O23" i="1"/>
  <c r="O37" i="1"/>
  <c r="O49" i="1"/>
  <c r="O38" i="1"/>
  <c r="O50" i="1"/>
  <c r="O39" i="1"/>
  <c r="O51" i="1"/>
  <c r="O40" i="1"/>
  <c r="O52" i="1"/>
  <c r="O41" i="1"/>
  <c r="O53" i="1"/>
  <c r="D14" i="1"/>
  <c r="D13" i="1"/>
  <c r="D12" i="1"/>
  <c r="D11" i="1"/>
  <c r="J22" i="1" l="1"/>
  <c r="J24" i="1" l="1"/>
  <c r="J23" i="1"/>
  <c r="J2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365989-E0BE-4326-80ED-C731D6733A67}" keepAlive="1" name="Consulta - Registro Mensual" description="Conexión a la consulta 'Registro Mensual' en el libro." type="5" refreshedVersion="8" background="1" saveData="1">
    <dbPr connection="Provider=Microsoft.Mashup.OleDb.1;Data Source=$Workbook$;Location=&quot;Registro Mensual&quot;;Extended Properties=&quot;&quot;" command="SELECT * FROM [Registro Mensu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<sst xmlns="http://schemas.openxmlformats.org/spreadsheetml/2006/main" count="802" uniqueCount="283">
  <si>
    <t>NIF</t>
  </si>
  <si>
    <t>Direccion</t>
  </si>
  <si>
    <t>A Coruña</t>
  </si>
  <si>
    <t>Telefono</t>
  </si>
  <si>
    <t>hola@email.com</t>
  </si>
  <si>
    <t>Fecha</t>
  </si>
  <si>
    <t>CP Ciudad</t>
  </si>
  <si>
    <t>Provincia</t>
  </si>
  <si>
    <t>CP Santiago de Compostela</t>
  </si>
  <si>
    <t>Calle zebra, 16</t>
  </si>
  <si>
    <t>12345, Santiago de Compostela</t>
  </si>
  <si>
    <t>A12344856</t>
  </si>
  <si>
    <t>B14456464</t>
  </si>
  <si>
    <t>Avenida caballo, 259</t>
  </si>
  <si>
    <t>45678, Santiago de Compostela</t>
  </si>
  <si>
    <t>DESCRIPCION</t>
  </si>
  <si>
    <t>PRECIO</t>
  </si>
  <si>
    <t>IMPORTE</t>
  </si>
  <si>
    <t>RONES</t>
  </si>
  <si>
    <t>PRECIO RONES</t>
  </si>
  <si>
    <t>PRECIO + IVA RONES</t>
  </si>
  <si>
    <t>PROVEEDOR</t>
  </si>
  <si>
    <t>ALMACENES MOURE</t>
  </si>
  <si>
    <t>BACARDI LITRO</t>
  </si>
  <si>
    <t>HAVANA CLUB 7 AÑOS 40° Cuba</t>
  </si>
  <si>
    <t>MATUSALEN 7 AÑOS</t>
  </si>
  <si>
    <t>MATUSALEN 15 AÑOS 40° R.Domini</t>
  </si>
  <si>
    <t>PAMPERO 40° Venezuela</t>
  </si>
  <si>
    <t>DIPLOMATICO RVA EXCLUSIVA</t>
  </si>
  <si>
    <t>LEGENDARIO ELIXIR 7 AÑOS 34°</t>
  </si>
  <si>
    <t>IMPERIAL BARCELO 38°Rep.Domini.</t>
  </si>
  <si>
    <t>SANTA TERESA GRAN RVA.40°Venez</t>
  </si>
  <si>
    <t>FLOR DE CAÑA 7 AÑOS 40°Nicara</t>
  </si>
  <si>
    <t>FLOR DE CAÑA 12 años 40°Nicara</t>
  </si>
  <si>
    <t>FLOR DE CAÑA 18 años</t>
  </si>
  <si>
    <t>ZACAPA 23 Solera 40°Guatemala</t>
  </si>
  <si>
    <t>ZACAPA "CENT.XO"</t>
  </si>
  <si>
    <t>SUBTOTAL</t>
  </si>
  <si>
    <t>IVA</t>
  </si>
  <si>
    <t>TOTAL</t>
  </si>
  <si>
    <t>Proveedor</t>
  </si>
  <si>
    <t>Columna1</t>
  </si>
  <si>
    <t>VODKAS</t>
  </si>
  <si>
    <t>PRECIO VODKAS</t>
  </si>
  <si>
    <t>PRECIO + IVA VODKAS</t>
  </si>
  <si>
    <t>MOSKOVSKAYA 40° Letonia</t>
  </si>
  <si>
    <t>GREY GOOSE ORIGINAL 40°Francia</t>
  </si>
  <si>
    <t>WHISKYS</t>
  </si>
  <si>
    <t>PRECIO WHISKYS</t>
  </si>
  <si>
    <t>PRECIO + IVA WHISKYS</t>
  </si>
  <si>
    <t>JB</t>
  </si>
  <si>
    <t>CUTTY SARCK 70cl</t>
  </si>
  <si>
    <t>OLD PARR LITRO</t>
  </si>
  <si>
    <t>Pedido Nº</t>
  </si>
  <si>
    <t>Chocolate</t>
  </si>
  <si>
    <t>Categorias</t>
  </si>
  <si>
    <t>CATEGORIA</t>
  </si>
  <si>
    <t>UD</t>
  </si>
  <si>
    <t>WHISKYS2</t>
  </si>
  <si>
    <t>CASH</t>
  </si>
  <si>
    <t>PEDIDO</t>
  </si>
  <si>
    <t>Arehucas Carta Oro</t>
  </si>
  <si>
    <t>Bacardi 1l</t>
  </si>
  <si>
    <t>Bacardi LIMON</t>
  </si>
  <si>
    <t>Barcelo</t>
  </si>
  <si>
    <t>Barcelo imperial</t>
  </si>
  <si>
    <t>Zacapa 23</t>
  </si>
  <si>
    <t>Zacapa XO</t>
  </si>
  <si>
    <t>Brugal</t>
  </si>
  <si>
    <t>Brugal Extra Viejo</t>
  </si>
  <si>
    <t>Cacique</t>
  </si>
  <si>
    <t>Cacique 500</t>
  </si>
  <si>
    <t>Diplomatico RVA</t>
  </si>
  <si>
    <t>Flor de Caña 12</t>
  </si>
  <si>
    <t>Flor de Caña 7</t>
  </si>
  <si>
    <t>KONG</t>
  </si>
  <si>
    <t>Kraken</t>
  </si>
  <si>
    <t>Havana 3</t>
  </si>
  <si>
    <t>Havana 7</t>
  </si>
  <si>
    <t>Legendario</t>
  </si>
  <si>
    <t>Malibu</t>
  </si>
  <si>
    <t>Matusalem 15</t>
  </si>
  <si>
    <t>Matusalen 7</t>
  </si>
  <si>
    <t>Millonario 10a</t>
  </si>
  <si>
    <t>Pampero</t>
  </si>
  <si>
    <t>Santa Teresa</t>
  </si>
  <si>
    <t>Santa Teresa 1796</t>
  </si>
  <si>
    <t>TEQUILAS</t>
  </si>
  <si>
    <t>Absolute</t>
  </si>
  <si>
    <t>Belvedere</t>
  </si>
  <si>
    <t>Ciroc</t>
  </si>
  <si>
    <t>Eristoff Black</t>
  </si>
  <si>
    <t>Grey Goose</t>
  </si>
  <si>
    <t>Moskovskaya</t>
  </si>
  <si>
    <t>Stolishnaya</t>
  </si>
  <si>
    <t>100 Pipers</t>
  </si>
  <si>
    <t>Ballantines</t>
  </si>
  <si>
    <t>Ballantines 10</t>
  </si>
  <si>
    <t>Black Bush</t>
  </si>
  <si>
    <t>Cragganmore</t>
  </si>
  <si>
    <t>Cutty Shark</t>
  </si>
  <si>
    <t>Dyc 8</t>
  </si>
  <si>
    <t>Glenrothes 12</t>
  </si>
  <si>
    <t>Jack DanielÂ´s</t>
  </si>
  <si>
    <t>Jameson</t>
  </si>
  <si>
    <t>Johnnie Walker</t>
  </si>
  <si>
    <t>Johnnie Walker Black</t>
  </si>
  <si>
    <t>Johnnie Walker Swing</t>
  </si>
  <si>
    <t>Lagavulin 16</t>
  </si>
  <si>
    <t>Laphroig 10</t>
  </si>
  <si>
    <t>Macallan 12</t>
  </si>
  <si>
    <t>Mars Cosmo</t>
  </si>
  <si>
    <t>Old Parr 1l</t>
  </si>
  <si>
    <t>Talisker 10</t>
  </si>
  <si>
    <t>Johnnie Walker Blue</t>
  </si>
  <si>
    <t>Hibiki</t>
  </si>
  <si>
    <t>White Label CASH</t>
  </si>
  <si>
    <t>GINEBRAS</t>
  </si>
  <si>
    <t>PRECIO GINEBRAS</t>
  </si>
  <si>
    <t>PRECIO + IVA GINEBRAS</t>
  </si>
  <si>
    <t>M.G. GIN CLASICA</t>
  </si>
  <si>
    <t>PLYMOUTH GIN STD 41,2°</t>
  </si>
  <si>
    <t>THE LONDON GIN N*1 L22355</t>
  </si>
  <si>
    <t>TANQUERAY 43,1°</t>
  </si>
  <si>
    <t>BOMBAY 40° uk</t>
  </si>
  <si>
    <t>JINZU GIN 70 CL</t>
  </si>
  <si>
    <t>ROKU GIN 70CL Japon</t>
  </si>
  <si>
    <t>PRECIO TEQUILAS</t>
  </si>
  <si>
    <t>PRECIO + IVA TEQUILAS</t>
  </si>
  <si>
    <t>LICORES</t>
  </si>
  <si>
    <t>PRECIO LICORES</t>
  </si>
  <si>
    <t>PRECIO + IVA LICORES</t>
  </si>
  <si>
    <t>COINTREAU</t>
  </si>
  <si>
    <t>KAHLUA (LICOR CAFE)</t>
  </si>
  <si>
    <t>BAILEYS IRISH CREAM</t>
  </si>
  <si>
    <t>CACHAZA 51 Litro</t>
  </si>
  <si>
    <t>MALIBU (COCO)</t>
  </si>
  <si>
    <t>VERMOUTHS</t>
  </si>
  <si>
    <t>PRECIO VERMOUTHS</t>
  </si>
  <si>
    <t>PRECIO + IVA VERMOUTHS</t>
  </si>
  <si>
    <t>FERNET BRANCA</t>
  </si>
  <si>
    <t>GINEBRAS2</t>
  </si>
  <si>
    <t>TEQUILAS2</t>
  </si>
  <si>
    <t>LICORES2</t>
  </si>
  <si>
    <t>VERMOUTHS2</t>
  </si>
  <si>
    <t>Amaretto Villa Massa</t>
  </si>
  <si>
    <t>Baileys</t>
  </si>
  <si>
    <t>Cachaza 51</t>
  </si>
  <si>
    <t>Cointreau</t>
  </si>
  <si>
    <t>Fernet Blanca</t>
  </si>
  <si>
    <t>Kalhua</t>
  </si>
  <si>
    <t>Don Julio Añejo</t>
  </si>
  <si>
    <t>Jose cuervo Tradicional</t>
  </si>
  <si>
    <t>Don Julio BLANCO</t>
  </si>
  <si>
    <t>Beefeater</t>
  </si>
  <si>
    <t>Beefeater 24</t>
  </si>
  <si>
    <t>Bombay</t>
  </si>
  <si>
    <t>Bombay Saphire</t>
  </si>
  <si>
    <t>Brockman's</t>
  </si>
  <si>
    <t>Bulldog london</t>
  </si>
  <si>
    <t>Citadelle</t>
  </si>
  <si>
    <t>Gin Mare</t>
  </si>
  <si>
    <t>Gin Sea</t>
  </si>
  <si>
    <t>Gordon´s</t>
  </si>
  <si>
    <t>Hendrick´s</t>
  </si>
  <si>
    <t>Jinzu</t>
  </si>
  <si>
    <t>Larios 12</t>
  </si>
  <si>
    <t>Le Tribute</t>
  </si>
  <si>
    <t>London Nº 1</t>
  </si>
  <si>
    <t>Martin Miller´s</t>
  </si>
  <si>
    <t>Master´s Gin</t>
  </si>
  <si>
    <t>MG</t>
  </si>
  <si>
    <t>MG rosa</t>
  </si>
  <si>
    <t>Monkey 47 50cl</t>
  </si>
  <si>
    <t>Nordes</t>
  </si>
  <si>
    <t>Plymouth</t>
  </si>
  <si>
    <t>Puerto de indias FRESA</t>
  </si>
  <si>
    <t>Seagram´s</t>
  </si>
  <si>
    <t>Tanqueray</t>
  </si>
  <si>
    <t>Tanqueray 0.0</t>
  </si>
  <si>
    <t>Tanqueray Rangpur</t>
  </si>
  <si>
    <t>Tanqueray Sevilla</t>
  </si>
  <si>
    <t>Roku</t>
  </si>
  <si>
    <t>Aperol 1l</t>
  </si>
  <si>
    <t>Martini Blanco</t>
  </si>
  <si>
    <t>Martini Rojo</t>
  </si>
  <si>
    <t>Petroni Blanco</t>
  </si>
  <si>
    <t>Petroni Rojo</t>
  </si>
  <si>
    <t>Yzaguirre Rojo</t>
  </si>
  <si>
    <t>----------</t>
  </si>
  <si>
    <t>DESCUENTO</t>
  </si>
  <si>
    <t>AMARETTO VILLA MASSA</t>
  </si>
  <si>
    <t>MARTINI ROJO LITRO</t>
  </si>
  <si>
    <t>MARTINI BIANCO</t>
  </si>
  <si>
    <t>APEROL *LITRO*</t>
  </si>
  <si>
    <t>PETRONI  ROJO</t>
  </si>
  <si>
    <t>PETRONI BLANCO</t>
  </si>
  <si>
    <t>YZAGUIRRE ROJO</t>
  </si>
  <si>
    <t xml:space="preserve">GORDONS </t>
  </si>
  <si>
    <t>MEZCAL 400 conejos 70CL</t>
  </si>
  <si>
    <t>CHAMPAN VEUVE CLICQUOT brut</t>
  </si>
  <si>
    <t>CHAMPAN MOET CHANDON</t>
  </si>
  <si>
    <t>HIBIKI HARMONY whisky japones</t>
  </si>
  <si>
    <t>MALTA LAPHROAIG 10AÑOS 3128SB1</t>
  </si>
  <si>
    <t>MACALLAN 12 AÑOS double cask</t>
  </si>
  <si>
    <t>LAGAVULIN MALTA 16</t>
  </si>
  <si>
    <t>TALISKER MALTA 10 AÑOS</t>
  </si>
  <si>
    <t>CRAGGANMORE MALTA 12 AÑOS</t>
  </si>
  <si>
    <t>JACK DANIELS BOURBON</t>
  </si>
  <si>
    <t>JIM BEAM BOURBON</t>
  </si>
  <si>
    <t>MAKER'S MARK BOURBON</t>
  </si>
  <si>
    <t>JAMESON IRLANDES l214012</t>
  </si>
  <si>
    <t>BLACK BUSH IRLANDES</t>
  </si>
  <si>
    <t>London DRY GIN No.3</t>
  </si>
  <si>
    <t>ERISTOFF Black</t>
  </si>
  <si>
    <t>ABSOLUT</t>
  </si>
  <si>
    <t xml:space="preserve">BELVEDERE 40° </t>
  </si>
  <si>
    <t>STOLI 40° Letonia</t>
  </si>
  <si>
    <t>CIROC 40° Francia</t>
  </si>
  <si>
    <t>ABSOLUT "MANDRIN" 0,70</t>
  </si>
  <si>
    <t>JOSE CUERVO TRADICIONAL</t>
  </si>
  <si>
    <t>DON JULIO 1942</t>
  </si>
  <si>
    <t>MAESTRO DOBEL DIAMANTE</t>
  </si>
  <si>
    <t>DON JULIO BLANCO</t>
  </si>
  <si>
    <t>Maestro Dobel</t>
  </si>
  <si>
    <t>MEZCAL 400 conejos</t>
  </si>
  <si>
    <t xml:space="preserve">CHAMPAN BOLLINGER ESPECIAL CUVEE BRUT    </t>
  </si>
  <si>
    <t xml:space="preserve"> CHAMPAN Bollinger</t>
  </si>
  <si>
    <t>CHAMPAN Moet Chandon</t>
  </si>
  <si>
    <t>BACARDI LIMON</t>
  </si>
  <si>
    <t>Cacique añejo 70cl</t>
  </si>
  <si>
    <t>CACIQUE 500 ANEJO 40°Venezue</t>
  </si>
  <si>
    <t>HAVANA CLUB ORIGEN</t>
  </si>
  <si>
    <t>ABUELO AÑEJO</t>
  </si>
  <si>
    <t>KRAKEM 70 CL 40%</t>
  </si>
  <si>
    <t>BARCELO AÑEJO 37,5</t>
  </si>
  <si>
    <t xml:space="preserve">BRUGAL AÑEJO 38° </t>
  </si>
  <si>
    <t>BRUGAL EXTRA VIEJO 38°Rep.Domi</t>
  </si>
  <si>
    <t>SANTA TERESA 1796 40°Venezuela</t>
  </si>
  <si>
    <t>AREHUCAS CARTA ORO</t>
  </si>
  <si>
    <t>KONG Negro</t>
  </si>
  <si>
    <t>KONG Blanco</t>
  </si>
  <si>
    <t xml:space="preserve"> SANTISIMA TRINIDAD 7años</t>
  </si>
  <si>
    <t>SANTISIMA TRINIDAD 15 años CUBA</t>
  </si>
  <si>
    <t>JOHNNIE WALKER BLUE LABEL*</t>
  </si>
  <si>
    <t>JOHNNIE WALKER DOBLE. BLACK</t>
  </si>
  <si>
    <t>DEWARS WHITE LABEL</t>
  </si>
  <si>
    <t>BALLANTINES 10 años 70cl</t>
  </si>
  <si>
    <t>100 PIPERS</t>
  </si>
  <si>
    <t>100 PIPERS LITRO</t>
  </si>
  <si>
    <t>GLENROTHES 12 años</t>
  </si>
  <si>
    <t>BALLANTINES</t>
  </si>
  <si>
    <t>JOHNNIE WALKER BLACK LABEL</t>
  </si>
  <si>
    <t>JOHNNIE WALKER RED LABEL</t>
  </si>
  <si>
    <t>DYC RESERVA 8 AÑOS</t>
  </si>
  <si>
    <t>LARIOS 12 AZUL 70cl</t>
  </si>
  <si>
    <t>TANQUERAY 0,0 SIN ALCOHOL</t>
  </si>
  <si>
    <t>TANQUERAY RANGPUR 0,70 41,3° uk</t>
  </si>
  <si>
    <t>TANQUERAY Flor de SEVILLA uk 41,3</t>
  </si>
  <si>
    <t>Beefeater LITRO</t>
  </si>
  <si>
    <t>Beefeater VEINTICUATRO 45°</t>
  </si>
  <si>
    <t>BOMBAY SAPPHIRE 43° uk</t>
  </si>
  <si>
    <t>CITADELLE JARDIN D-ETE</t>
  </si>
  <si>
    <t>SEAGRAM'S 40°</t>
  </si>
  <si>
    <t>HENDRICKS 44°Escocia</t>
  </si>
  <si>
    <t>MARTIN MILLERS ARCTIC 40° uk</t>
  </si>
  <si>
    <t xml:space="preserve">MARTIN MILLERS SUMMERFUL </t>
  </si>
  <si>
    <t>BULLDOG 40° uk</t>
  </si>
  <si>
    <t>MARE 42,7°</t>
  </si>
  <si>
    <t>PUERTO DE INDIAS FRESA</t>
  </si>
  <si>
    <t>BROCKMAN'S 40°</t>
  </si>
  <si>
    <t xml:space="preserve">MONKEY 47° 50cl </t>
  </si>
  <si>
    <t>SEA 40°</t>
  </si>
  <si>
    <t>NORDES ATLANTIC 4G°</t>
  </si>
  <si>
    <t>MASTERS 70CL</t>
  </si>
  <si>
    <t>311 70c1 40°</t>
  </si>
  <si>
    <t>Productos</t>
  </si>
  <si>
    <t>Unidades</t>
  </si>
  <si>
    <t xml:space="preserve"> Precio </t>
  </si>
  <si>
    <t xml:space="preserve"> Importe </t>
  </si>
  <si>
    <t>Subtotal</t>
  </si>
  <si>
    <t>Total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</si>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</sst>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[$€-2]\ * #,##0.00_);_([$€-2]\ * \(#,##0.00\);_([$€-2]\ * &quot;-&quot;??_);_(@_)"/>
    <numFmt numFmtId="166" formatCode="#,##0.00\ [$€-1]"/>
    <numFmt numFmtId="167" formatCode="_ * #,##0.00_)\ [$€-1]_ ;_ * \(#,##0.00\)\ [$€-1]_ ;_ * &quot;-&quot;??_)\ [$€-1]_ ;_ @_ "/>
    <numFmt numFmtId="168" formatCode="#,##0.00\ &quot;€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0"/>
      <color theme="0"/>
      <name val="Calibri"/>
      <family val="2"/>
      <scheme val="minor"/>
    </font>
    <font>
      <b/>
      <sz val="36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sz val="15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14" fillId="0" borderId="3" applyNumberFormat="0" applyFill="0" applyAlignment="0" applyProtection="0"/>
  </cellStyleXfs>
  <cellXfs count="64">
    <xf numFmtId="0" fontId="0" fillId="0" borderId="0" xfId="0"/>
    <xf numFmtId="0" fontId="3" fillId="0" borderId="0" xfId="1"/>
    <xf numFmtId="0" fontId="1" fillId="0" borderId="0" xfId="0" applyFont="1"/>
    <xf numFmtId="0" fontId="4" fillId="0" borderId="0" xfId="0" applyFont="1"/>
    <xf numFmtId="0" fontId="2" fillId="2" borderId="0" xfId="0" applyFont="1" applyFill="1" applyAlignment="1"/>
    <xf numFmtId="0" fontId="0" fillId="3" borderId="0" xfId="0" applyFill="1"/>
    <xf numFmtId="0" fontId="6" fillId="0" borderId="0" xfId="0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right"/>
    </xf>
    <xf numFmtId="0" fontId="2" fillId="2" borderId="0" xfId="0" applyFont="1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167" fontId="9" fillId="3" borderId="0" xfId="0" applyNumberFormat="1" applyFont="1" applyFill="1"/>
    <xf numFmtId="166" fontId="9" fillId="3" borderId="0" xfId="0" applyNumberFormat="1" applyFont="1" applyFill="1"/>
    <xf numFmtId="166" fontId="10" fillId="3" borderId="0" xfId="0" applyNumberFormat="1" applyFont="1" applyFill="1"/>
    <xf numFmtId="0" fontId="9" fillId="4" borderId="0" xfId="0" applyFont="1" applyFill="1"/>
    <xf numFmtId="9" fontId="9" fillId="4" borderId="0" xfId="2" applyFont="1" applyFill="1"/>
    <xf numFmtId="9" fontId="9" fillId="4" borderId="0" xfId="0" applyNumberFormat="1" applyFont="1" applyFill="1"/>
    <xf numFmtId="0" fontId="8" fillId="2" borderId="0" xfId="0" applyFont="1" applyFill="1"/>
    <xf numFmtId="166" fontId="8" fillId="2" borderId="0" xfId="0" applyNumberFormat="1" applyFont="1" applyFill="1"/>
    <xf numFmtId="0" fontId="0" fillId="0" borderId="0" xfId="0" applyFont="1"/>
    <xf numFmtId="0" fontId="1" fillId="0" borderId="1" xfId="0" applyFont="1" applyBorder="1" applyAlignment="1">
      <alignment horizontal="center" vertical="top"/>
    </xf>
    <xf numFmtId="165" fontId="1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0" fontId="1" fillId="0" borderId="2" xfId="0" applyFont="1" applyBorder="1" applyAlignment="1">
      <alignment horizontal="center" vertical="top"/>
    </xf>
    <xf numFmtId="165" fontId="1" fillId="0" borderId="2" xfId="0" applyNumberFormat="1" applyFont="1" applyBorder="1" applyAlignment="1">
      <alignment horizontal="right"/>
    </xf>
    <xf numFmtId="0" fontId="0" fillId="0" borderId="0" xfId="0" applyBorder="1"/>
    <xf numFmtId="165" fontId="0" fillId="0" borderId="0" xfId="0" applyNumberFormat="1" applyBorder="1" applyAlignment="1">
      <alignment horizontal="right"/>
    </xf>
    <xf numFmtId="0" fontId="0" fillId="0" borderId="0" xfId="0" applyFill="1"/>
    <xf numFmtId="0" fontId="0" fillId="5" borderId="0" xfId="0" quotePrefix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11" fillId="0" borderId="1" xfId="0" applyFont="1" applyBorder="1" applyAlignment="1">
      <alignment horizontal="center" vertical="top"/>
    </xf>
    <xf numFmtId="0" fontId="12" fillId="0" borderId="0" xfId="0" applyFont="1"/>
    <xf numFmtId="0" fontId="12" fillId="0" borderId="0" xfId="0" applyFont="1" applyFill="1"/>
    <xf numFmtId="0" fontId="12" fillId="0" borderId="0" xfId="0" applyFont="1" applyBorder="1"/>
    <xf numFmtId="0" fontId="11" fillId="0" borderId="2" xfId="0" applyFont="1" applyBorder="1" applyAlignment="1">
      <alignment horizontal="center" vertical="top"/>
    </xf>
    <xf numFmtId="0" fontId="12" fillId="0" borderId="0" xfId="0" applyFont="1" applyAlignment="1">
      <alignment horizontal="left"/>
    </xf>
    <xf numFmtId="0" fontId="1" fillId="0" borderId="1" xfId="0" applyNumberFormat="1" applyFont="1" applyBorder="1" applyAlignment="1">
      <alignment horizontal="center" vertical="top"/>
    </xf>
    <xf numFmtId="0" fontId="0" fillId="0" borderId="0" xfId="0" applyNumberFormat="1"/>
    <xf numFmtId="0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right" vertical="top"/>
    </xf>
    <xf numFmtId="14" fontId="0" fillId="0" borderId="0" xfId="0" applyNumberFormat="1"/>
    <xf numFmtId="0" fontId="0" fillId="3" borderId="0" xfId="0" applyNumberFormat="1" applyFill="1"/>
    <xf numFmtId="168" fontId="0" fillId="0" borderId="0" xfId="0" applyNumberFormat="1"/>
    <xf numFmtId="14" fontId="0" fillId="3" borderId="0" xfId="0" applyNumberFormat="1" applyFill="1"/>
    <xf numFmtId="167" fontId="0" fillId="0" borderId="0" xfId="0" applyNumberFormat="1" applyFill="1" applyAlignment="1">
      <alignment horizontal="center"/>
    </xf>
    <xf numFmtId="0" fontId="0" fillId="5" borderId="0" xfId="0" quotePrefix="1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0" fontId="12" fillId="0" borderId="0" xfId="0" applyNumberFormat="1" applyFont="1" applyFill="1" applyAlignment="1">
      <alignment horizontal="right"/>
    </xf>
    <xf numFmtId="168" fontId="12" fillId="0" borderId="0" xfId="0" applyNumberFormat="1" applyFont="1" applyFill="1"/>
    <xf numFmtId="164" fontId="0" fillId="0" borderId="0" xfId="0" applyNumberFormat="1"/>
    <xf numFmtId="14" fontId="12" fillId="0" borderId="0" xfId="0" applyNumberFormat="1" applyFont="1" applyFill="1"/>
    <xf numFmtId="0" fontId="0" fillId="0" borderId="0" xfId="0" applyFont="1" applyFill="1"/>
    <xf numFmtId="0" fontId="0" fillId="0" borderId="0" xfId="0" applyNumberFormat="1" applyFont="1" applyAlignment="1">
      <alignment horizontal="right"/>
    </xf>
    <xf numFmtId="14" fontId="0" fillId="0" borderId="0" xfId="0" applyNumberFormat="1" applyFont="1"/>
    <xf numFmtId="168" fontId="0" fillId="0" borderId="0" xfId="0" applyNumberFormat="1" applyFont="1"/>
    <xf numFmtId="0" fontId="0" fillId="0" borderId="0" xfId="0" applyNumberFormat="1" applyFont="1" applyFill="1" applyAlignment="1">
      <alignment horizontal="right"/>
    </xf>
    <xf numFmtId="14" fontId="0" fillId="0" borderId="0" xfId="0" applyNumberFormat="1" applyFont="1" applyFill="1"/>
    <xf numFmtId="168" fontId="0" fillId="0" borderId="0" xfId="0" applyNumberFormat="1" applyFont="1" applyFill="1"/>
    <xf numFmtId="164" fontId="0" fillId="0" borderId="0" xfId="0" applyNumberFormat="1" applyFill="1"/>
    <xf numFmtId="0" fontId="15" fillId="0" borderId="3" xfId="3" applyNumberFormat="1" applyFont="1" applyFill="1" applyAlignment="1">
      <alignment horizontal="right"/>
    </xf>
    <xf numFmtId="0" fontId="15" fillId="0" borderId="3" xfId="3" applyFont="1" applyFill="1"/>
    <xf numFmtId="168" fontId="15" fillId="0" borderId="3" xfId="3" applyNumberFormat="1" applyFont="1" applyFill="1"/>
    <xf numFmtId="0" fontId="0" fillId="3" borderId="0" xfId="0" applyFill="1"/>
    <xf numFmtId="0" fontId="5" fillId="2" borderId="0" xfId="0" applyFont="1" applyFill="1" applyAlignment="1">
      <alignment horizontal="left"/>
    </xf>
  </cellXfs>
  <cellStyles count="4">
    <cellStyle name="Encabezado 1" xfId="3" builtinId="16"/>
    <cellStyle name="Hipervínculo" xfId="1" builtinId="8"/>
    <cellStyle name="Normal" xfId="0" builtinId="0"/>
    <cellStyle name="Porcentaje" xfId="2" builtinId="5"/>
  </cellStyles>
  <dxfs count="44">
    <dxf>
      <numFmt numFmtId="0" formatCode="General"/>
      <alignment horizontal="right" textRotation="0" wrapText="0" indent="0" justifyLastLine="0" shrinkToFit="0" readingOrder="0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numFmt numFmtId="165" formatCode="_([$€-2]\ * #,##0.00_);_([$€-2]\ * \(#,##0.00\);_([$€-2]\ 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10</xdr:row>
          <xdr:rowOff>9525</xdr:rowOff>
        </xdr:from>
        <xdr:to>
          <xdr:col>8</xdr:col>
          <xdr:colOff>247650</xdr:colOff>
          <xdr:row>12</xdr:row>
          <xdr:rowOff>9525</xdr:rowOff>
        </xdr:to>
        <xdr:sp macro="" textlink="">
          <xdr:nvSpPr>
            <xdr:cNvPr id="1028" name="registr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ARCHIVO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161925</xdr:rowOff>
        </xdr:from>
        <xdr:to>
          <xdr:col>8</xdr:col>
          <xdr:colOff>276225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PEDIDO Y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16</xdr:row>
          <xdr:rowOff>9525</xdr:rowOff>
        </xdr:from>
        <xdr:to>
          <xdr:col>7</xdr:col>
          <xdr:colOff>1238250</xdr:colOff>
          <xdr:row>20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752475</xdr:colOff>
          <xdr:row>16</xdr:row>
          <xdr:rowOff>9525</xdr:rowOff>
        </xdr:from>
        <xdr:to>
          <xdr:col>10</xdr:col>
          <xdr:colOff>495300</xdr:colOff>
          <xdr:row>19</xdr:row>
          <xdr:rowOff>190500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MODIFICAR PEDIDO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347061-BE80-427D-B827-818CF86B7205}" name="TablaProveedores" displayName="TablaProveedores" ref="A1:E5" totalsRowShown="0">
  <autoFilter ref="A1:E5" xr:uid="{68347061-BE80-427D-B827-818CF86B7205}"/>
  <tableColumns count="5">
    <tableColumn id="1" xr3:uid="{05074EA2-5922-4937-9DF3-44B6ECAEA42A}" name="Proveedor"/>
    <tableColumn id="2" xr3:uid="{1D068DAC-DF22-469D-9A1D-12BA4B8DA7D4}" name="NIF"/>
    <tableColumn id="3" xr3:uid="{DC3B976A-84F3-471A-A685-ECAC03089ED5}" name="Direccion"/>
    <tableColumn id="4" xr3:uid="{9390E239-CF98-4873-BC02-C75A6F9A94A5}" name="CP Ciudad"/>
    <tableColumn id="5" xr3:uid="{FFB90C63-BFCB-4F8B-88DE-A290C6CE7525}" name="Provinci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A660A5-0C08-4054-85C7-D8BF2C88315C}" name="TablaCategorias" displayName="TablaCategorias" ref="B3:B10" totalsRowShown="0">
  <autoFilter ref="B3:B10" xr:uid="{A9A660A5-0C08-4054-85C7-D8BF2C88315C}"/>
  <tableColumns count="1">
    <tableColumn id="1" xr3:uid="{6C315213-B948-48B9-932B-1556F83DAB8E}" name="Categoria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08B71F-7283-4542-98A3-4D87F9EA39D1}" name="RON" displayName="RON" ref="A1:E131" totalsRowShown="0" headerRowDxfId="43" headerRowBorderDxfId="42" tableBorderDxfId="41">
  <autoFilter ref="A1:E131" xr:uid="{5A08B71F-7283-4542-98A3-4D87F9EA39D1}"/>
  <tableColumns count="5">
    <tableColumn id="2" xr3:uid="{2D4CDA77-FE2B-40BA-8583-76FA10180DCE}" name="RONES" dataDxfId="40"/>
    <tableColumn id="3" xr3:uid="{424F1DB7-C73F-49E1-BFD4-2ABD936F3BF3}" name="Columna1"/>
    <tableColumn id="4" xr3:uid="{1FE8D921-05E6-4105-AC80-427497391811}" name="PRECIO RONES" dataDxfId="39"/>
    <tableColumn id="5" xr3:uid="{373D00A8-3D52-48C5-95C2-D1E7E55E6F04}" name="PRECIO + IVA RONES" dataDxfId="38"/>
    <tableColumn id="6" xr3:uid="{8266A108-A05F-45ED-9CE8-ED68594ECC0A}" name="PROVEEDOR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B4C82E-CB0F-4A01-BDCE-549FB4992046}" name="VODKA" displayName="VODKA" ref="G1:K60" totalsRowShown="0" headerRowDxfId="37" headerRowBorderDxfId="36" tableBorderDxfId="35">
  <autoFilter ref="G1:K60" xr:uid="{BEB4C82E-CB0F-4A01-BDCE-549FB4992046}"/>
  <tableColumns count="5">
    <tableColumn id="2" xr3:uid="{CCD4A933-7F2E-45F0-ABD0-047BA36DE4C6}" name="VODKAS" dataDxfId="34"/>
    <tableColumn id="3" xr3:uid="{4F9BEAFB-2E48-4193-A5A4-3CE6C6247F75}" name="Columna1"/>
    <tableColumn id="4" xr3:uid="{39D72203-94E2-472D-9F49-9A9844813AF4}" name="PRECIO VODKAS" dataDxfId="33"/>
    <tableColumn id="5" xr3:uid="{5F098019-A7C0-41C9-8AFE-5101B0F35D5D}" name="PRECIO + IVA VODKAS" dataDxfId="32"/>
    <tableColumn id="6" xr3:uid="{5EC5788E-0FC5-42B6-9BBA-C2089274A240}" name="PROVEEDOR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583767-05AD-4FF2-B78B-FA51CF47CFA2}" name="WHISKY" displayName="WHISKY" ref="M1:Q82" totalsRowShown="0" headerRowDxfId="31" headerRowBorderDxfId="30" tableBorderDxfId="29">
  <autoFilter ref="M1:Q82" xr:uid="{BB583767-05AD-4FF2-B78B-FA51CF47CFA2}"/>
  <tableColumns count="5">
    <tableColumn id="2" xr3:uid="{E88784DF-3CDF-46D7-8D1E-4C44B27DB783}" name="WHISKYS" dataDxfId="28"/>
    <tableColumn id="3" xr3:uid="{A339A7E7-5D07-4BAC-AA76-C31FF95928C7}" name="WHISKYS2"/>
    <tableColumn id="4" xr3:uid="{4017244A-D0D2-465B-A8FF-337174130A70}" name="PRECIO WHISKYS" dataDxfId="27"/>
    <tableColumn id="5" xr3:uid="{B774B0DB-6ACC-43B1-9192-294D6DE23343}" name="PRECIO + IVA WHISKYS" dataDxfId="26"/>
    <tableColumn id="6" xr3:uid="{066AC955-878F-46E6-A8A3-314900224AF6}" name="PROVEEDOR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72A8A6-1401-4EA6-A6CD-D2861305FEDB}" name="GINEBRA" displayName="GINEBRA" ref="S1:W173" totalsRowShown="0" headerRowDxfId="25" headerRowBorderDxfId="24" tableBorderDxfId="23">
  <autoFilter ref="S1:W173" xr:uid="{0C72A8A6-1401-4EA6-A6CD-D2861305FEDB}"/>
  <tableColumns count="5">
    <tableColumn id="2" xr3:uid="{8826DB8D-2EF0-4A69-ABF9-F4EC9CC5C343}" name="GINEBRAS" dataDxfId="22"/>
    <tableColumn id="3" xr3:uid="{E3E06A65-4414-4556-B870-1FDF6F9AECBA}" name="GINEBRAS2"/>
    <tableColumn id="4" xr3:uid="{1F817B48-0308-4652-A7AE-F1130826EC30}" name="PRECIO GINEBRAS" dataDxfId="21"/>
    <tableColumn id="5" xr3:uid="{471D87D5-6742-444B-BFC4-D5B3DF73C7D6}" name="PRECIO + IVA GINEBRAS" dataDxfId="20"/>
    <tableColumn id="6" xr3:uid="{22FC73ED-F6F0-4A70-A131-A2C6C197CC91}" name="PROVEEDOR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469666-A0CE-4866-AE6E-8C59A32242CA}" name="TEQUILA" displayName="TEQUILA" ref="Y1:AC44" totalsRowShown="0" headerRowDxfId="19" headerRowBorderDxfId="18" tableBorderDxfId="17">
  <autoFilter ref="Y1:AC44" xr:uid="{9E469666-A0CE-4866-AE6E-8C59A32242CA}"/>
  <tableColumns count="5">
    <tableColumn id="2" xr3:uid="{ABAAF45E-181A-435E-85BC-BC578B013094}" name="TEQUILAS" dataDxfId="16"/>
    <tableColumn id="3" xr3:uid="{5D8169A3-A5C6-4FD3-91C5-DCC5BFC53943}" name="TEQUILAS2"/>
    <tableColumn id="4" xr3:uid="{27B1257A-93ED-4852-AD7F-2D8C1C8AF392}" name="PRECIO TEQUILAS" dataDxfId="15"/>
    <tableColumn id="5" xr3:uid="{FD2CCB65-159F-4F36-AE34-A48FDD9B917F}" name="PRECIO + IVA TEQUILAS" dataDxfId="14"/>
    <tableColumn id="6" xr3:uid="{CC82A13B-36B5-4FE1-9B37-A363A44591D1}" name="PROVEEDOR" dataDxfId="13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10E671-6806-447B-9A4C-06E2F5D00AB5}" name="LICOR" displayName="LICOR" ref="AE1:AI109" totalsRowShown="0" headerRowDxfId="12" headerRowBorderDxfId="11" tableBorderDxfId="10">
  <autoFilter ref="AE1:AI109" xr:uid="{3510E671-6806-447B-9A4C-06E2F5D00AB5}"/>
  <tableColumns count="5">
    <tableColumn id="2" xr3:uid="{2EA3BDA5-227B-4325-A3C8-26760B23058C}" name="LICORES" dataDxfId="9"/>
    <tableColumn id="3" xr3:uid="{86DE62B0-1498-45D5-B10C-CB93D3B48483}" name="LICORES2"/>
    <tableColumn id="4" xr3:uid="{D568AF63-5E2C-4667-A8DF-CD5E47B3B5CF}" name="PRECIO LICORES" dataDxfId="8"/>
    <tableColumn id="5" xr3:uid="{B0B01B5D-733E-4209-9038-6F728599684F}" name="PRECIO + IVA LICORES" dataDxfId="7"/>
    <tableColumn id="6" xr3:uid="{0D41B6AE-82A7-460F-8245-D081D90B3849}" name="PROVEEDOR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C32CFF-DF7F-4D1B-9350-5AF403AE7474}" name="VERMOUTH" displayName="VERMOUTH" ref="AK1:AO57" totalsRowShown="0" headerRowDxfId="6" headerRowBorderDxfId="5" tableBorderDxfId="4">
  <autoFilter ref="AK1:AO57" xr:uid="{C5C32CFF-DF7F-4D1B-9350-5AF403AE7474}"/>
  <tableColumns count="5">
    <tableColumn id="2" xr3:uid="{0B2098E8-9C0D-459F-9DB6-A16299C03C91}" name="VERMOUTHS" dataDxfId="3"/>
    <tableColumn id="3" xr3:uid="{791AF59B-A836-4492-9B40-0954B226A075}" name="VERMOUTHS2"/>
    <tableColumn id="4" xr3:uid="{630672C5-CEB5-4AA2-8851-2CD44955F4F8}" name="PRECIO VERMOUTHS" dataDxfId="2"/>
    <tableColumn id="5" xr3:uid="{4A7E76DB-919A-4CF5-B1AC-BA8D9E71BBE7}" name="PRECIO + IVA VERMOUTHS" dataDxfId="1"/>
    <tableColumn id="6" xr3:uid="{B9031A11-11E2-4D22-892B-4A580D92821A}" name="PROVEEDOR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ola@ema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05649-3E99-4332-8588-9C3554901E18}">
  <sheetPr codeName="Hoja1">
    <pageSetUpPr fitToPage="1"/>
  </sheetPr>
  <dimension ref="A3:P57"/>
  <sheetViews>
    <sheetView tabSelected="1" zoomScaleNormal="100" workbookViewId="0">
      <selection activeCell="M21" sqref="M21"/>
    </sheetView>
  </sheetViews>
  <sheetFormatPr baseColWidth="10" defaultRowHeight="15" x14ac:dyDescent="0.25"/>
  <cols>
    <col min="1" max="1" width="15.42578125" customWidth="1"/>
    <col min="2" max="2" width="46.28515625" customWidth="1"/>
    <col min="3" max="3" width="12.140625" bestFit="1" customWidth="1"/>
    <col min="4" max="4" width="10.5703125" customWidth="1"/>
    <col min="5" max="5" width="13.140625" bestFit="1" customWidth="1"/>
    <col min="6" max="6" width="11.85546875" bestFit="1" customWidth="1"/>
    <col min="8" max="8" width="18.7109375" customWidth="1"/>
    <col min="10" max="10" width="11.85546875" bestFit="1" customWidth="1"/>
    <col min="12" max="12" width="11.85546875" style="37" bestFit="1" customWidth="1"/>
    <col min="13" max="13" width="11.42578125" customWidth="1"/>
    <col min="14" max="14" width="11.42578125" hidden="1" customWidth="1"/>
    <col min="15" max="15" width="11.42578125" style="37" hidden="1" customWidth="1"/>
    <col min="16" max="16" width="11.42578125" customWidth="1"/>
  </cols>
  <sheetData>
    <row r="3" spans="2:14" x14ac:dyDescent="0.25">
      <c r="B3" s="3"/>
      <c r="C3" s="3"/>
    </row>
    <row r="4" spans="2:14" ht="46.5" x14ac:dyDescent="0.7">
      <c r="B4" s="6" t="s">
        <v>60</v>
      </c>
      <c r="C4" s="6"/>
    </row>
    <row r="6" spans="2:14" x14ac:dyDescent="0.25">
      <c r="B6" s="2" t="s">
        <v>54</v>
      </c>
      <c r="C6" s="2"/>
      <c r="D6" s="63" t="s">
        <v>53</v>
      </c>
      <c r="E6" s="63"/>
      <c r="F6" s="41">
        <v>3</v>
      </c>
      <c r="N6">
        <v>2</v>
      </c>
    </row>
    <row r="7" spans="2:14" x14ac:dyDescent="0.25">
      <c r="B7" s="2" t="s">
        <v>0</v>
      </c>
      <c r="C7" s="2"/>
      <c r="D7" s="63" t="s">
        <v>5</v>
      </c>
      <c r="E7" s="63"/>
      <c r="F7" s="43">
        <v>45515</v>
      </c>
    </row>
    <row r="8" spans="2:14" x14ac:dyDescent="0.25">
      <c r="B8" t="s">
        <v>1</v>
      </c>
    </row>
    <row r="9" spans="2:14" x14ac:dyDescent="0.25">
      <c r="B9" t="s">
        <v>8</v>
      </c>
      <c r="D9" s="4" t="s">
        <v>40</v>
      </c>
      <c r="E9" s="4"/>
      <c r="F9" s="4"/>
    </row>
    <row r="10" spans="2:14" x14ac:dyDescent="0.25">
      <c r="B10" t="s">
        <v>2</v>
      </c>
      <c r="D10" s="62"/>
      <c r="E10" s="62"/>
      <c r="F10" s="62"/>
    </row>
    <row r="11" spans="2:14" x14ac:dyDescent="0.25">
      <c r="B11" t="s">
        <v>3</v>
      </c>
      <c r="D11" s="5" t="str">
        <f>IFERROR(VLOOKUP(D10,TablaProveedores[],2,),"")</f>
        <v/>
      </c>
      <c r="E11" s="5"/>
      <c r="F11" s="5"/>
    </row>
    <row r="12" spans="2:14" x14ac:dyDescent="0.25">
      <c r="B12" s="1" t="s">
        <v>4</v>
      </c>
      <c r="C12" s="1"/>
      <c r="D12" s="5" t="str">
        <f>IFERROR(VLOOKUP(D10,TablaProveedores[],3,),"")</f>
        <v/>
      </c>
      <c r="E12" s="5"/>
      <c r="F12" s="5"/>
    </row>
    <row r="13" spans="2:14" x14ac:dyDescent="0.25">
      <c r="D13" s="5" t="str">
        <f>IFERROR(VLOOKUP(D10,TablaProveedores[],4,),"")</f>
        <v/>
      </c>
      <c r="E13" s="5"/>
      <c r="F13" s="5"/>
    </row>
    <row r="14" spans="2:14" x14ac:dyDescent="0.25">
      <c r="D14" s="5" t="str">
        <f>IFERROR(VLOOKUP(D10,TablaProveedores[],5,),"")</f>
        <v/>
      </c>
      <c r="E14" s="5"/>
      <c r="F14" s="5"/>
    </row>
    <row r="17" spans="1:15" x14ac:dyDescent="0.25">
      <c r="A17" s="9" t="s">
        <v>56</v>
      </c>
      <c r="B17" s="9" t="s">
        <v>15</v>
      </c>
      <c r="C17" s="9" t="s">
        <v>57</v>
      </c>
      <c r="D17" s="10" t="s">
        <v>16</v>
      </c>
      <c r="E17" s="10" t="s">
        <v>17</v>
      </c>
    </row>
    <row r="18" spans="1:15" x14ac:dyDescent="0.25">
      <c r="D18" s="49" t="str" cm="1">
        <f t="array" ref="D18">IF(_xlfn.XLOOKUP($B$18, RON[[#All], [RONES]], RON[[#All], [PRECIO RONES]], "")&lt;&gt;"",
    _xlfn.XLOOKUP($B$18, RON[[#All], [RONES]], RON[[#All], [PRECIO RONES]], ""),
    IF(_xlfn.XLOOKUP($B$18, VODKA[[#All], [VODKAS]], VODKA[[#All], [PRECIO VODKAS]], "")&lt;&gt;"",
        _xlfn.XLOOKUP($B$18, VODKA[[#All], [VODKAS]], VODKA[[#All], [PRECIO VODKAS]], ""),
        IF(_xlfn.XLOOKUP($B$18, WHISKY[[#All], [WHISKYS]], WHISKY[[#All], [PRECIO WHISKYS]], "")&lt;&gt;"",
            _xlfn.XLOOKUP($B$18, WHISKY[[#All], [WHISKYS]], WHISKY[[#All], [PRECIO WHISKYS]], ""),
            IF(_xlfn.XLOOKUP($B$18, GINEBRA[[#All], [GINEBRAS]], GINEBRA[[#All], [PRECIO GINEBRAS]], "")&lt;&gt;"",
                _xlfn.XLOOKUP($B$18, GINEBRA[[#All], [GINEBRAS]], GINEBRA[[#All], [PRECIO GINEBRAS]], ""),
                IF(_xlfn.XLOOKUP($B$18, TEQUILA[[#All], [TEQUILAS]], TEQUILA[[#All], [PRECIO TEQUILAS]], "")&lt;&gt;"",
                    _xlfn.XLOOKUP($B$18, TEQUILA[[#All], [TEQUILAS]], TEQUILA[[#All], [PRECIO TEQUILAS]], ""),
                    IF(_xlfn.XLOOKUP($B$18, LICOR[[#All], [LICORES]], LICOR[[#All], [PRECIO LICORES]], "")&lt;&gt;"",
                        _xlfn.XLOOKUP($B$18, LICOR[[#All], [LICORES]], LICOR[[#All], [PRECIO LICORES]], ""),
                        IF(_xlfn.XLOOKUP($B$18, VERMOUTH[[#All], [VERMOUTHS]], VERMOUTH[[#All], [PRECIO VERMOUTHS]], "")&lt;&gt;"",
                            _xlfn.XLOOKUP($B$18, VERMOUTH[[#All], [VERMOUTHS]], VERMOUTH[[#All], [PRECIO VERMOUTHS]], ""),
                            ""
                        )
                    )
                )
            )
        )
    )
)</f>
        <v/>
      </c>
      <c r="E18" s="49" t="str">
        <f>IF(OR($C$18="", $D$18=""), "", $C$18*$D$18)</f>
        <v/>
      </c>
      <c r="J18" s="27"/>
      <c r="N18" s="49" t="str" cm="1">
        <f t="array" ref="N18">IF(_xlfn.XLOOKUP($B$18, RON[[#All], [RONES]], RON[[#All], [PRECIO RONES]], "")&lt;&gt;"",
    _xlfn.XLOOKUP($B$18, RON[[#All], [RONES]], RON[[#All], [PRECIO RONES]], ""),
    IF(_xlfn.XLOOKUP($B$18, VODKA[[#All], [VODKAS]], VODKA[[#All], [PRECIO VODKAS]], "")&lt;&gt;"",
        _xlfn.XLOOKUP($B$18, VODKA[[#All], [VODKAS]], VODKA[[#All], [PRECIO VODKAS]], ""),
        IF(_xlfn.XLOOKUP($B$18, WHISKY[[#All], [WHISKYS]], WHISKY[[#All], [PRECIO WHISKYS]], "")&lt;&gt;"",
            _xlfn.XLOOKUP($B$18, WHISKY[[#All], [WHISKYS]], WHISKY[[#All], [PRECIO WHISKYS]], ""),
            IF(_xlfn.XLOOKUP($B$18, GINEBRA[[#All], [GINEBRAS]], GINEBRA[[#All], [PRECIO GINEBRAS]], "")&lt;&gt;"",
                _xlfn.XLOOKUP($B$18, GINEBRA[[#All], [GINEBRAS]], GINEBRA[[#All], [PRECIO GINEBRAS]], ""),
                IF(_xlfn.XLOOKUP($B$18, TEQUILA[[#All], [TEQUILAS]], TEQUILA[[#All], [PRECIO TEQUILAS]], "")&lt;&gt;"",
                    _xlfn.XLOOKUP($B$18, TEQUILA[[#All], [TEQUILAS]], TEQUILA[[#All], [PRECIO TEQUILAS]], ""),
                    IF(_xlfn.XLOOKUP($B$18, LICOR[[#All], [LICORES]], LICOR[[#All], [PRECIO LICORES]], "")&lt;&gt;"",
                        _xlfn.XLOOKUP($B$18, LICOR[[#All], [LICORES]], LICOR[[#All], [PRECIO LICORES]], ""),
                        IF(_xlfn.XLOOKUP($B$18, VERMOUTH[[#All], [VERMOUTHS]], VERMOUTH[[#All], [PRECIO VERMOUTHS]], "")&lt;&gt;"",
                            _xlfn.XLOOKUP($B$18, VERMOUTH[[#All], [VERMOUTHS]], VERMOUTH[[#All], [PRECIO VERMOUTHS]], ""),
                            ""
                        )
                    )
                )
            )
        )
    )
)</f>
        <v/>
      </c>
      <c r="O18" s="49" t="str">
        <f>IF(OR($C$18="", $D$18=""), "", $C$18*$D$18)</f>
        <v/>
      </c>
    </row>
    <row r="19" spans="1:15" x14ac:dyDescent="0.25">
      <c r="D19" s="49" t="str" cm="1">
        <f t="array" ref="D19">IF(_xlfn.XLOOKUP($B$19, RON[[#All], [RONES]], RON[[#All], [PRECIO RONES]], "")&lt;&gt;"",
    _xlfn.XLOOKUP($B$19, RON[[#All], [RONES]], RON[[#All], [PRECIO RONES]], ""),
    IF(_xlfn.XLOOKUP($B$19, VODKA[[#All], [VODKAS]], VODKA[[#All], [PRECIO VODKAS]], "")&lt;&gt;"",
        _xlfn.XLOOKUP($B$19, VODKA[[#All], [VODKAS]], VODKA[[#All], [PRECIO VODKAS]], ""),
        IF(_xlfn.XLOOKUP($B$19, WHISKY[[#All], [WHISKYS]], WHISKY[[#All], [PRECIO WHISKYS]], "")&lt;&gt;"",
            _xlfn.XLOOKUP($B$19, WHISKY[[#All], [WHISKYS]], WHISKY[[#All], [PRECIO WHISKYS]], ""),
            IF(_xlfn.XLOOKUP($B$19, GINEBRA[[#All], [GINEBRAS]], GINEBRA[[#All], [PRECIO GINEBRAS]], "")&lt;&gt;"",
                _xlfn.XLOOKUP($B$19, GINEBRA[[#All], [GINEBRAS]], GINEBRA[[#All], [PRECIO GINEBRAS]], ""),
                IF(_xlfn.XLOOKUP($B$19, TEQUILA[[#All], [TEQUILAS]], TEQUILA[[#All], [PRECIO TEQUILAS]], "")&lt;&gt;"",
                    _xlfn.XLOOKUP($B$19, TEQUILA[[#All], [TEQUILAS]], TEQUILA[[#All], [PRECIO TEQUILAS]], ""),
                    IF(_xlfn.XLOOKUP($B$19, LICOR[[#All], [LICORES]], LICOR[[#All], [PRECIO LICORES]], "")&lt;&gt;"",
                        _xlfn.XLOOKUP($B$19, LICOR[[#All], [LICORES]], LICOR[[#All], [PRECIO LICORES]], ""),
                        IF(_xlfn.XLOOKUP($B$19, VERMOUTH[[#All], [VERMOUTHS]], VERMOUTH[[#All], [PRECIO VERMOUTHS]], "")&lt;&gt;"",
                            _xlfn.XLOOKUP($B$19, VERMOUTH[[#All], [VERMOUTHS]], VERMOUTH[[#All], [PRECIO VERMOUTHS]], ""),
                            ""
                        )
                    )
                )
            )
        )
    )
)</f>
        <v/>
      </c>
      <c r="E19" s="49" t="str">
        <f>IF(OR($C$19="", $D$19=""), "", $C$19*$D$19)</f>
        <v/>
      </c>
      <c r="I19" s="27"/>
      <c r="N19" s="49" t="str" cm="1">
        <f t="array" ref="N19">IF(_xlfn.XLOOKUP($B$19, RON[[#All], [RONES]], RON[[#All], [PRECIO RONES]], "")&lt;&gt;"",
    _xlfn.XLOOKUP($B$19, RON[[#All], [RONES]], RON[[#All], [PRECIO RONES]], ""),
    IF(_xlfn.XLOOKUP($B$19, VODKA[[#All], [VODKAS]], VODKA[[#All], [PRECIO VODKAS]], "")&lt;&gt;"",
        _xlfn.XLOOKUP($B$19, VODKA[[#All], [VODKAS]], VODKA[[#All], [PRECIO VODKAS]], ""),
        IF(_xlfn.XLOOKUP($B$19, WHISKY[[#All], [WHISKYS]], WHISKY[[#All], [PRECIO WHISKYS]], "")&lt;&gt;"",
            _xlfn.XLOOKUP($B$19, WHISKY[[#All], [WHISKYS]], WHISKY[[#All], [PRECIO WHISKYS]], ""),
            IF(_xlfn.XLOOKUP($B$19, GINEBRA[[#All], [GINEBRAS]], GINEBRA[[#All], [PRECIO GINEBRAS]], "")&lt;&gt;"",
                _xlfn.XLOOKUP($B$19, GINEBRA[[#All], [GINEBRAS]], GINEBRA[[#All], [PRECIO GINEBRAS]], ""),
                IF(_xlfn.XLOOKUP($B$19, TEQUILA[[#All], [TEQUILAS]], TEQUILA[[#All], [PRECIO TEQUILAS]], "")&lt;&gt;"",
                    _xlfn.XLOOKUP($B$19, TEQUILA[[#All], [TEQUILAS]], TEQUILA[[#All], [PRECIO TEQUILAS]], ""),
                    IF(_xlfn.XLOOKUP($B$19, LICOR[[#All], [LICORES]], LICOR[[#All], [PRECIO LICORES]], "")&lt;&gt;"",
                        _xlfn.XLOOKUP($B$19, LICOR[[#All], [LICORES]], LICOR[[#All], [PRECIO LICORES]], ""),
                        IF(_xlfn.XLOOKUP($B$19, VERMOUTH[[#All], [VERMOUTHS]], VERMOUTH[[#All], [PRECIO VERMOUTHS]], "")&lt;&gt;"",
                            _xlfn.XLOOKUP($B$19, VERMOUTH[[#All], [VERMOUTHS]], VERMOUTH[[#All], [PRECIO VERMOUTHS]], ""),
                            ""
                        )
                    )
                )
            )
        )
    )
)</f>
        <v/>
      </c>
      <c r="O19" s="49" t="str">
        <f>IF(OR($C$19="", $D$19=""), "", $C$19*$D$19)</f>
        <v/>
      </c>
    </row>
    <row r="20" spans="1:15" x14ac:dyDescent="0.25">
      <c r="D20" s="49" t="str" cm="1">
        <f t="array" ref="D20">IF(_xlfn.XLOOKUP($B$20, RON[[#All], [RONES]], RON[[#All], [PRECIO RONES]], "")&lt;&gt;"",
    _xlfn.XLOOKUP($B$20, RON[[#All], [RONES]], RON[[#All], [PRECIO RONES]], ""),
    IF(_xlfn.XLOOKUP($B$20, VODKA[[#All], [VODKAS]], VODKA[[#All], [PRECIO VODKAS]], "")&lt;&gt;"",
        _xlfn.XLOOKUP($B$20, VODKA[[#All], [VODKAS]], VODKA[[#All], [PRECIO VODKAS]], ""),
        IF(_xlfn.XLOOKUP($B$20, WHISKY[[#All], [WHISKYS]], WHISKY[[#All], [PRECIO WHISKYS]], "")&lt;&gt;"",
            _xlfn.XLOOKUP($B$20, WHISKY[[#All], [WHISKYS]], WHISKY[[#All], [PRECIO WHISKYS]], ""),
            IF(_xlfn.XLOOKUP($B$20, GINEBRA[[#All], [GINEBRAS]], GINEBRA[[#All], [PRECIO GINEBRAS]], "")&lt;&gt;"",
                _xlfn.XLOOKUP($B$20, GINEBRA[[#All], [GINEBRAS]], GINEBRA[[#All], [PRECIO GINEBRAS]], ""),
                IF(_xlfn.XLOOKUP($B$20, TEQUILA[[#All], [TEQUILAS]], TEQUILA[[#All], [PRECIO TEQUILAS]], "")&lt;&gt;"",
                    _xlfn.XLOOKUP($B$20, TEQUILA[[#All], [TEQUILAS]], TEQUILA[[#All], [PRECIO TEQUILAS]], ""),
                    IF(_xlfn.XLOOKUP($B$20, LICOR[[#All], [LICORES]], LICOR[[#All], [PRECIO LICORES]], "")&lt;&gt;"",
                        _xlfn.XLOOKUP($B$20, LICOR[[#All], [LICORES]], LICOR[[#All], [PRECIO LICORES]], ""),
                        IF(_xlfn.XLOOKUP($B$20, VERMOUTH[[#All], [VERMOUTHS]], VERMOUTH[[#All], [PRECIO VERMOUTHS]], "")&lt;&gt;"",
                            _xlfn.XLOOKUP($B$20, VERMOUTH[[#All], [VERMOUTHS]], VERMOUTH[[#All], [PRECIO VERMOUTHS]], ""),
                            ""
                        )
                    )
                )
            )
        )
    )
)</f>
        <v/>
      </c>
      <c r="E20" s="49" t="str">
        <f>IF(OR($C$20="", $D$20=""), "", $C$20*$D$20)</f>
        <v/>
      </c>
      <c r="I20" s="27"/>
      <c r="N20" s="49" t="str" cm="1">
        <f t="array" ref="N20">IF(_xlfn.XLOOKUP($B$20, RON[[#All], [RONES]], RON[[#All], [PRECIO RONES]], "")&lt;&gt;"",
    _xlfn.XLOOKUP($B$20, RON[[#All], [RONES]], RON[[#All], [PRECIO RONES]], ""),
    IF(_xlfn.XLOOKUP($B$20, VODKA[[#All], [VODKAS]], VODKA[[#All], [PRECIO VODKAS]], "")&lt;&gt;"",
        _xlfn.XLOOKUP($B$20, VODKA[[#All], [VODKAS]], VODKA[[#All], [PRECIO VODKAS]], ""),
        IF(_xlfn.XLOOKUP($B$20, WHISKY[[#All], [WHISKYS]], WHISKY[[#All], [PRECIO WHISKYS]], "")&lt;&gt;"",
            _xlfn.XLOOKUP($B$20, WHISKY[[#All], [WHISKYS]], WHISKY[[#All], [PRECIO WHISKYS]], ""),
            IF(_xlfn.XLOOKUP($B$20, GINEBRA[[#All], [GINEBRAS]], GINEBRA[[#All], [PRECIO GINEBRAS]], "")&lt;&gt;"",
                _xlfn.XLOOKUP($B$20, GINEBRA[[#All], [GINEBRAS]], GINEBRA[[#All], [PRECIO GINEBRAS]], ""),
                IF(_xlfn.XLOOKUP($B$20, TEQUILA[[#All], [TEQUILAS]], TEQUILA[[#All], [PRECIO TEQUILAS]], "")&lt;&gt;"",
                    _xlfn.XLOOKUP($B$20, TEQUILA[[#All], [TEQUILAS]], TEQUILA[[#All], [PRECIO TEQUILAS]], ""),
                    IF(_xlfn.XLOOKUP($B$20, LICOR[[#All], [LICORES]], LICOR[[#All], [PRECIO LICORES]], "")&lt;&gt;"",
                        _xlfn.XLOOKUP($B$20, LICOR[[#All], [LICORES]], LICOR[[#All], [PRECIO LICORES]], ""),
                        IF(_xlfn.XLOOKUP($B$20, VERMOUTH[[#All], [VERMOUTHS]], VERMOUTH[[#All], [PRECIO VERMOUTHS]], "")&lt;&gt;"",
                            _xlfn.XLOOKUP($B$20, VERMOUTH[[#All], [VERMOUTHS]], VERMOUTH[[#All], [PRECIO VERMOUTHS]], ""),
                            ""
                        )
                    )
                )
            )
        )
    )
)</f>
        <v/>
      </c>
      <c r="O20" s="49" t="str">
        <f>IF(OR($C$20="", $D$20=""), "", $C$20*$D$20)</f>
        <v/>
      </c>
    </row>
    <row r="21" spans="1:15" x14ac:dyDescent="0.25">
      <c r="D21" s="49" t="str" cm="1">
        <f t="array" ref="D21">IF(_xlfn.XLOOKUP($B$21, RON[[#All], [RONES]], RON[[#All], [PRECIO RONES]], "")&lt;&gt;"",
    _xlfn.XLOOKUP($B$21, RON[[#All], [RONES]], RON[[#All], [PRECIO RONES]], ""),
    IF(_xlfn.XLOOKUP($B$21, VODKA[[#All], [VODKAS]], VODKA[[#All], [PRECIO VODKAS]], "")&lt;&gt;"",
        _xlfn.XLOOKUP($B$21, VODKA[[#All], [VODKAS]], VODKA[[#All], [PRECIO VODKAS]], ""),
        IF(_xlfn.XLOOKUP($B$21, WHISKY[[#All], [WHISKYS]], WHISKY[[#All], [PRECIO WHISKYS]], "")&lt;&gt;"",
            _xlfn.XLOOKUP($B$21, WHISKY[[#All], [WHISKYS]], WHISKY[[#All], [PRECIO WHISKYS]], ""),
            IF(_xlfn.XLOOKUP($B$21, GINEBRA[[#All], [GINEBRAS]], GINEBRA[[#All], [PRECIO GINEBRAS]], "")&lt;&gt;"",
                _xlfn.XLOOKUP($B$21, GINEBRA[[#All], [GINEBRAS]], GINEBRA[[#All], [PRECIO GINEBRAS]], ""),
                IF(_xlfn.XLOOKUP($B$21, TEQUILA[[#All], [TEQUILAS]], TEQUILA[[#All], [PRECIO TEQUILAS]], "")&lt;&gt;"",
                    _xlfn.XLOOKUP($B$21, TEQUILA[[#All], [TEQUILAS]], TEQUILA[[#All], [PRECIO TEQUILAS]], ""),
                    IF(_xlfn.XLOOKUP($B$21, LICOR[[#All], [LICORES]], LICOR[[#All], [PRECIO LICORES]], "")&lt;&gt;"",
                        _xlfn.XLOOKUP($B$21, LICOR[[#All], [LICORES]], LICOR[[#All], [PRECIO LICORES]], ""),
                        IF(_xlfn.XLOOKUP($B$21, VERMOUTH[[#All], [VERMOUTHS]], VERMOUTH[[#All], [PRECIO VERMOUTHS]], "")&lt;&gt;"",
                            _xlfn.XLOOKUP($B$21, VERMOUTH[[#All], [VERMOUTHS]], VERMOUTH[[#All], [PRECIO VERMOUTHS]], ""),
                            ""
                        )
                    )
                )
            )
        )
    )
)</f>
        <v/>
      </c>
      <c r="E21" s="49" t="str">
        <f>IF(OR($C$21="", $D$21=""), "", $C$21*$D$21)</f>
        <v/>
      </c>
      <c r="I21" s="27"/>
      <c r="N21" s="49" t="str" cm="1">
        <f t="array" ref="N21">IF(_xlfn.XLOOKUP($B$21, RON[[#All], [RONES]], RON[[#All], [PRECIO RONES]], "")&lt;&gt;"",
    _xlfn.XLOOKUP($B$21, RON[[#All], [RONES]], RON[[#All], [PRECIO RONES]], ""),
    IF(_xlfn.XLOOKUP($B$21, VODKA[[#All], [VODKAS]], VODKA[[#All], [PRECIO VODKAS]], "")&lt;&gt;"",
        _xlfn.XLOOKUP($B$21, VODKA[[#All], [VODKAS]], VODKA[[#All], [PRECIO VODKAS]], ""),
        IF(_xlfn.XLOOKUP($B$21, WHISKY[[#All], [WHISKYS]], WHISKY[[#All], [PRECIO WHISKYS]], "")&lt;&gt;"",
            _xlfn.XLOOKUP($B$21, WHISKY[[#All], [WHISKYS]], WHISKY[[#All], [PRECIO WHISKYS]], ""),
            IF(_xlfn.XLOOKUP($B$21, GINEBRA[[#All], [GINEBRAS]], GINEBRA[[#All], [PRECIO GINEBRAS]], "")&lt;&gt;"",
                _xlfn.XLOOKUP($B$21, GINEBRA[[#All], [GINEBRAS]], GINEBRA[[#All], [PRECIO GINEBRAS]], ""),
                IF(_xlfn.XLOOKUP($B$21, TEQUILA[[#All], [TEQUILAS]], TEQUILA[[#All], [PRECIO TEQUILAS]], "")&lt;&gt;"",
                    _xlfn.XLOOKUP($B$21, TEQUILA[[#All], [TEQUILAS]], TEQUILA[[#All], [PRECIO TEQUILAS]], ""),
                    IF(_xlfn.XLOOKUP($B$21, LICOR[[#All], [LICORES]], LICOR[[#All], [PRECIO LICORES]], "")&lt;&gt;"",
                        _xlfn.XLOOKUP($B$21, LICOR[[#All], [LICORES]], LICOR[[#All], [PRECIO LICORES]], ""),
                        IF(_xlfn.XLOOKUP($B$21, VERMOUTH[[#All], [VERMOUTHS]], VERMOUTH[[#All], [PRECIO VERMOUTHS]], "")&lt;&gt;"",
                            _xlfn.XLOOKUP($B$21, VERMOUTH[[#All], [VERMOUTHS]], VERMOUTH[[#All], [PRECIO VERMOUTHS]], ""),
                            ""
                        )
                    )
                )
            )
        )
    )
)</f>
        <v/>
      </c>
      <c r="O21" s="49" t="str">
        <f>IF(OR($C$21="", $D$21=""), "", $C$21*$D$21)</f>
        <v/>
      </c>
    </row>
    <row r="22" spans="1:15" x14ac:dyDescent="0.25">
      <c r="D22" s="49" t="str" cm="1">
        <f t="array" ref="D22">IF(_xlfn.XLOOKUP($B$22, RON[[#All], [RONES]], RON[[#All], [PRECIO RONES]], "")&lt;&gt;"",
    _xlfn.XLOOKUP($B$22, RON[[#All], [RONES]], RON[[#All], [PRECIO RONES]], ""),
    IF(_xlfn.XLOOKUP($B$22, VODKA[[#All], [VODKAS]], VODKA[[#All], [PRECIO VODKAS]], "")&lt;&gt;"",
        _xlfn.XLOOKUP($B$22, VODKA[[#All], [VODKAS]], VODKA[[#All], [PRECIO VODKAS]], ""),
        IF(_xlfn.XLOOKUP($B$22, WHISKY[[#All], [WHISKYS]], WHISKY[[#All], [PRECIO WHISKYS]], "")&lt;&gt;"",
            _xlfn.XLOOKUP($B$22, WHISKY[[#All], [WHISKYS]], WHISKY[[#All], [PRECIO WHISKYS]], ""),
            IF(_xlfn.XLOOKUP($B$22, GINEBRA[[#All], [GINEBRAS]], GINEBRA[[#All], [PRECIO GINEBRAS]], "")&lt;&gt;"",
                _xlfn.XLOOKUP($B$22, GINEBRA[[#All], [GINEBRAS]], GINEBRA[[#All], [PRECIO GINEBRAS]], ""),
                IF(_xlfn.XLOOKUP($B$22, TEQUILA[[#All], [TEQUILAS]], TEQUILA[[#All], [PRECIO TEQUILAS]], "")&lt;&gt;"",
                    _xlfn.XLOOKUP($B$22, TEQUILA[[#All], [TEQUILAS]], TEQUILA[[#All], [PRECIO TEQUILAS]], ""),
                    IF(_xlfn.XLOOKUP($B$22, LICOR[[#All], [LICORES]], LICOR[[#All], [PRECIO LICORES]], "")&lt;&gt;"",
                        _xlfn.XLOOKUP($B$22, LICOR[[#All], [LICORES]], LICOR[[#All], [PRECIO LICORES]], ""),
                        IF(_xlfn.XLOOKUP($B$22, VERMOUTH[[#All], [VERMOUTHS]], VERMOUTH[[#All], [PRECIO VERMOUTHS]], "")&lt;&gt;"",
                            _xlfn.XLOOKUP($B$22, VERMOUTH[[#All], [VERMOUTHS]], VERMOUTH[[#All], [PRECIO VERMOUTHS]], ""),
                            ""
                        )
                    )
                )
            )
        )
    )
)</f>
        <v/>
      </c>
      <c r="E22" s="49" t="str">
        <f>IF(OR($C$22="", $D$22=""), "", $C$22*$D$22)</f>
        <v/>
      </c>
      <c r="H22" s="14" t="s">
        <v>37</v>
      </c>
      <c r="I22" s="14"/>
      <c r="J22" s="11">
        <f>SUM(E18:E53)</f>
        <v>0</v>
      </c>
      <c r="K22" s="44"/>
      <c r="L22" s="46"/>
      <c r="N22" s="49" t="str" cm="1">
        <f t="array" ref="N22">IF(_xlfn.XLOOKUP($B$22, RON[[#All], [RONES]], RON[[#All], [PRECIO RONES]], "")&lt;&gt;"",
    _xlfn.XLOOKUP($B$22, RON[[#All], [RONES]], RON[[#All], [PRECIO RONES]], ""),
    IF(_xlfn.XLOOKUP($B$22, VODKA[[#All], [VODKAS]], VODKA[[#All], [PRECIO VODKAS]], "")&lt;&gt;"",
        _xlfn.XLOOKUP($B$22, VODKA[[#All], [VODKAS]], VODKA[[#All], [PRECIO VODKAS]], ""),
        IF(_xlfn.XLOOKUP($B$22, WHISKY[[#All], [WHISKYS]], WHISKY[[#All], [PRECIO WHISKYS]], "")&lt;&gt;"",
            _xlfn.XLOOKUP($B$22, WHISKY[[#All], [WHISKYS]], WHISKY[[#All], [PRECIO WHISKYS]], ""),
            IF(_xlfn.XLOOKUP($B$22, GINEBRA[[#All], [GINEBRAS]], GINEBRA[[#All], [PRECIO GINEBRAS]], "")&lt;&gt;"",
                _xlfn.XLOOKUP($B$22, GINEBRA[[#All], [GINEBRAS]], GINEBRA[[#All], [PRECIO GINEBRAS]], ""),
                IF(_xlfn.XLOOKUP($B$22, TEQUILA[[#All], [TEQUILAS]], TEQUILA[[#All], [PRECIO TEQUILAS]], "")&lt;&gt;"",
                    _xlfn.XLOOKUP($B$22, TEQUILA[[#All], [TEQUILAS]], TEQUILA[[#All], [PRECIO TEQUILAS]], ""),
                    IF(_xlfn.XLOOKUP($B$22, LICOR[[#All], [LICORES]], LICOR[[#All], [PRECIO LICORES]], "")&lt;&gt;"",
                        _xlfn.XLOOKUP($B$22, LICOR[[#All], [LICORES]], LICOR[[#All], [PRECIO LICORES]], ""),
                        IF(_xlfn.XLOOKUP($B$22, VERMOUTH[[#All], [VERMOUTHS]], VERMOUTH[[#All], [PRECIO VERMOUTHS]], "")&lt;&gt;"",
                            _xlfn.XLOOKUP($B$22, VERMOUTH[[#All], [VERMOUTHS]], VERMOUTH[[#All], [PRECIO VERMOUTHS]], ""),
                            ""
                        )
                    )
                )
            )
        )
    )
)</f>
        <v/>
      </c>
      <c r="O22" s="49" t="str">
        <f>IF(OR($C$22="", $D$22=""), "", $C$22*$D$22)</f>
        <v/>
      </c>
    </row>
    <row r="23" spans="1:15" x14ac:dyDescent="0.25">
      <c r="D23" s="49" t="str" cm="1">
        <f t="array" ref="D23">IF(_xlfn.XLOOKUP($B$23, RON[[#All], [RONES]], RON[[#All], [PRECIO RONES]], "")&lt;&gt;"",
    _xlfn.XLOOKUP($B$23, RON[[#All], [RONES]], RON[[#All], [PRECIO RONES]], ""),
    IF(_xlfn.XLOOKUP($B$23, VODKA[[#All], [VODKAS]], VODKA[[#All], [PRECIO VODKAS]], "")&lt;&gt;"",
        _xlfn.XLOOKUP($B$23, VODKA[[#All], [VODKAS]], VODKA[[#All], [PRECIO VODKAS]], ""),
        IF(_xlfn.XLOOKUP($B$23, WHISKY[[#All], [WHISKYS]], WHISKY[[#All], [PRECIO WHISKYS]], "")&lt;&gt;"",
            _xlfn.XLOOKUP($B$23, WHISKY[[#All], [WHISKYS]], WHISKY[[#All], [PRECIO WHISKYS]], ""),
            IF(_xlfn.XLOOKUP($B$23, GINEBRA[[#All], [GINEBRAS]], GINEBRA[[#All], [PRECIO GINEBRAS]], "")&lt;&gt;"",
                _xlfn.XLOOKUP($B$23, GINEBRA[[#All], [GINEBRAS]], GINEBRA[[#All], [PRECIO GINEBRAS]], ""),
                IF(_xlfn.XLOOKUP($B$23, TEQUILA[[#All], [TEQUILAS]], TEQUILA[[#All], [PRECIO TEQUILAS]], "")&lt;&gt;"",
                    _xlfn.XLOOKUP($B$23, TEQUILA[[#All], [TEQUILAS]], TEQUILA[[#All], [PRECIO TEQUILAS]], ""),
                    IF(_xlfn.XLOOKUP($B$23, LICOR[[#All], [LICORES]], LICOR[[#All], [PRECIO LICORES]], "")&lt;&gt;"",
                        _xlfn.XLOOKUP($B$23, LICOR[[#All], [LICORES]], LICOR[[#All], [PRECIO LICORES]], ""),
                        IF(_xlfn.XLOOKUP($B$23, VERMOUTH[[#All], [VERMOUTHS]], VERMOUTH[[#All], [PRECIO VERMOUTHS]], "")&lt;&gt;"",
                            _xlfn.XLOOKUP($B$23, VERMOUTH[[#All], [VERMOUTHS]], VERMOUTH[[#All], [PRECIO VERMOUTHS]], ""),
                            ""
                        )
                    )
                )
            )
        )
    )
)</f>
        <v/>
      </c>
      <c r="E23" s="49" t="str">
        <f>IF(OR($C$23="", $D$23=""), "", $C$23*$D$23)</f>
        <v/>
      </c>
      <c r="H23" s="14" t="s">
        <v>38</v>
      </c>
      <c r="I23" s="16">
        <v>0.21</v>
      </c>
      <c r="J23" s="13">
        <f>J22*I23</f>
        <v>0</v>
      </c>
      <c r="K23" s="44"/>
      <c r="L23" s="46"/>
      <c r="N23" s="49" t="str" cm="1">
        <f t="array" ref="N23">IF(_xlfn.XLOOKUP($B$23, RON[[#All], [RONES]], RON[[#All], [PRECIO RONES]], "")&lt;&gt;"",
    _xlfn.XLOOKUP($B$23, RON[[#All], [RONES]], RON[[#All], [PRECIO RONES]], ""),
    IF(_xlfn.XLOOKUP($B$23, VODKA[[#All], [VODKAS]], VODKA[[#All], [PRECIO VODKAS]], "")&lt;&gt;"",
        _xlfn.XLOOKUP($B$23, VODKA[[#All], [VODKAS]], VODKA[[#All], [PRECIO VODKAS]], ""),
        IF(_xlfn.XLOOKUP($B$23, WHISKY[[#All], [WHISKYS]], WHISKY[[#All], [PRECIO WHISKYS]], "")&lt;&gt;"",
            _xlfn.XLOOKUP($B$23, WHISKY[[#All], [WHISKYS]], WHISKY[[#All], [PRECIO WHISKYS]], ""),
            IF(_xlfn.XLOOKUP($B$23, GINEBRA[[#All], [GINEBRAS]], GINEBRA[[#All], [PRECIO GINEBRAS]], "")&lt;&gt;"",
                _xlfn.XLOOKUP($B$23, GINEBRA[[#All], [GINEBRAS]], GINEBRA[[#All], [PRECIO GINEBRAS]], ""),
                IF(_xlfn.XLOOKUP($B$23, TEQUILA[[#All], [TEQUILAS]], TEQUILA[[#All], [PRECIO TEQUILAS]], "")&lt;&gt;"",
                    _xlfn.XLOOKUP($B$23, TEQUILA[[#All], [TEQUILAS]], TEQUILA[[#All], [PRECIO TEQUILAS]], ""),
                    IF(_xlfn.XLOOKUP($B$23, LICOR[[#All], [LICORES]], LICOR[[#All], [PRECIO LICORES]], "")&lt;&gt;"",
                        _xlfn.XLOOKUP($B$23, LICOR[[#All], [LICORES]], LICOR[[#All], [PRECIO LICORES]], ""),
                        IF(_xlfn.XLOOKUP($B$23, VERMOUTH[[#All], [VERMOUTHS]], VERMOUTH[[#All], [PRECIO VERMOUTHS]], "")&lt;&gt;"",
                            _xlfn.XLOOKUP($B$23, VERMOUTH[[#All], [VERMOUTHS]], VERMOUTH[[#All], [PRECIO VERMOUTHS]], ""),
                            ""
                        )
                    )
                )
            )
        )
    )
)</f>
        <v/>
      </c>
      <c r="O23" s="49" t="str">
        <f>IF(OR($C$23="", $D$23=""), "", $C$23*$D$23)</f>
        <v/>
      </c>
    </row>
    <row r="24" spans="1:15" x14ac:dyDescent="0.25">
      <c r="D24" s="49" t="str" cm="1">
        <f t="array" ref="D24">IF(_xlfn.XLOOKUP($B$24, RON[[#All], [RONES]], RON[[#All], [PRECIO RONES]], "")&lt;&gt;"",
    _xlfn.XLOOKUP($B$24, RON[[#All], [RONES]], RON[[#All], [PRECIO RONES]], ""),
    IF(_xlfn.XLOOKUP($B$24, VODKA[[#All], [VODKAS]], VODKA[[#All], [PRECIO VODKAS]], "")&lt;&gt;"",
        _xlfn.XLOOKUP($B$24, VODKA[[#All], [VODKAS]], VODKA[[#All], [PRECIO VODKAS]], ""),
        IF(_xlfn.XLOOKUP($B$24, WHISKY[[#All], [WHISKYS]], WHISKY[[#All], [PRECIO WHISKYS]], "")&lt;&gt;"",
            _xlfn.XLOOKUP($B$24, WHISKY[[#All], [WHISKYS]], WHISKY[[#All], [PRECIO WHISKYS]], ""),
            IF(_xlfn.XLOOKUP($B$24, GINEBRA[[#All], [GINEBRAS]], GINEBRA[[#All], [PRECIO GINEBRAS]], "")&lt;&gt;"",
                _xlfn.XLOOKUP($B$24, GINEBRA[[#All], [GINEBRAS]], GINEBRA[[#All], [PRECIO GINEBRAS]], ""),
                IF(_xlfn.XLOOKUP($B$24, TEQUILA[[#All], [TEQUILAS]], TEQUILA[[#All], [PRECIO TEQUILAS]], "")&lt;&gt;"",
                    _xlfn.XLOOKUP($B$24, TEQUILA[[#All], [TEQUILAS]], TEQUILA[[#All], [PRECIO TEQUILAS]], ""),
                    IF(_xlfn.XLOOKUP($B$24, LICOR[[#All], [LICORES]], LICOR[[#All], [PRECIO LICORES]], "")&lt;&gt;"",
                        _xlfn.XLOOKUP($B$24, LICOR[[#All], [LICORES]], LICOR[[#All], [PRECIO LICORES]], ""),
                        IF(_xlfn.XLOOKUP($B$24, VERMOUTH[[#All], [VERMOUTHS]], VERMOUTH[[#All], [PRECIO VERMOUTHS]], "")&lt;&gt;"",
                            _xlfn.XLOOKUP($B$24, VERMOUTH[[#All], [VERMOUTHS]], VERMOUTH[[#All], [PRECIO VERMOUTHS]], ""),
                            ""
                        )
                    )
                )
            )
        )
    )
)</f>
        <v/>
      </c>
      <c r="E24" s="49" t="str">
        <f>IF(OR($C$24="", $D$24=""), "", $C$24*$D$24)</f>
        <v/>
      </c>
      <c r="H24" s="14" t="s">
        <v>190</v>
      </c>
      <c r="I24" s="15">
        <v>0.04</v>
      </c>
      <c r="J24" s="12">
        <f>J22*I24</f>
        <v>0</v>
      </c>
      <c r="K24" s="44"/>
      <c r="L24" s="46"/>
      <c r="N24" s="58" t="str" cm="1">
        <f t="array" ref="N24">IF(_xlfn.XLOOKUP($B$24, RON[[#All], [RONES]], RON[[#All], [PRECIO RONES]], "")&lt;&gt;"",
    _xlfn.XLOOKUP($B$24, RON[[#All], [RONES]], RON[[#All], [PRECIO RONES]], ""),
    IF(_xlfn.XLOOKUP($B$24, VODKA[[#All], [VODKAS]], VODKA[[#All], [PRECIO VODKAS]], "")&lt;&gt;"",
        _xlfn.XLOOKUP($B$24, VODKA[[#All], [VODKAS]], VODKA[[#All], [PRECIO VODKAS]], ""),
        IF(_xlfn.XLOOKUP($B$24, WHISKY[[#All], [WHISKYS]], WHISKY[[#All], [PRECIO WHISKYS]], "")&lt;&gt;"",
            _xlfn.XLOOKUP($B$24, WHISKY[[#All], [WHISKYS]], WHISKY[[#All], [PRECIO WHISKYS]], ""),
            IF(_xlfn.XLOOKUP($B$24, GINEBRA[[#All], [GINEBRAS]], GINEBRA[[#All], [PRECIO GINEBRAS]], "")&lt;&gt;"",
                _xlfn.XLOOKUP($B$24, GINEBRA[[#All], [GINEBRAS]], GINEBRA[[#All], [PRECIO GINEBRAS]], ""),
                IF(_xlfn.XLOOKUP($B$24, TEQUILA[[#All], [TEQUILAS]], TEQUILA[[#All], [PRECIO TEQUILAS]], "")&lt;&gt;"",
                    _xlfn.XLOOKUP($B$24, TEQUILA[[#All], [TEQUILAS]], TEQUILA[[#All], [PRECIO TEQUILAS]], ""),
                    IF(_xlfn.XLOOKUP($B$24, LICOR[[#All], [LICORES]], LICOR[[#All], [PRECIO LICORES]], "")&lt;&gt;"",
                        _xlfn.XLOOKUP($B$24, LICOR[[#All], [LICORES]], LICOR[[#All], [PRECIO LICORES]], ""),
                        IF(_xlfn.XLOOKUP($B$24, VERMOUTH[[#All], [VERMOUTHS]], VERMOUTH[[#All], [PRECIO VERMOUTHS]], "")&lt;&gt;"",
                            _xlfn.XLOOKUP($B$24, VERMOUTH[[#All], [VERMOUTHS]], VERMOUTH[[#All], [PRECIO VERMOUTHS]], ""),
                            ""
                        )
                    )
                )
            )
        )
    )
)</f>
        <v/>
      </c>
      <c r="O24" s="58" t="str">
        <f>IF(OR($C$24="", $D$24=""), "", $C$24*$D$24)</f>
        <v/>
      </c>
    </row>
    <row r="25" spans="1:15" x14ac:dyDescent="0.25">
      <c r="D25" s="49" t="str" cm="1">
        <f t="array" ref="D25">IF(_xlfn.XLOOKUP($B$25, RON[[#All], [RONES]], RON[[#All], [PRECIO RONES]], "")&lt;&gt;"",
    _xlfn.XLOOKUP($B$25, RON[[#All], [RONES]], RON[[#All], [PRECIO RONES]], ""),
    IF(_xlfn.XLOOKUP($B$25, VODKA[[#All], [VODKAS]], VODKA[[#All], [PRECIO VODKAS]], "")&lt;&gt;"",
        _xlfn.XLOOKUP($B$25, VODKA[[#All], [VODKAS]], VODKA[[#All], [PRECIO VODKAS]], ""),
        IF(_xlfn.XLOOKUP($B$25, WHISKY[[#All], [WHISKYS]], WHISKY[[#All], [PRECIO WHISKYS]], "")&lt;&gt;"",
            _xlfn.XLOOKUP($B$25, WHISKY[[#All], [WHISKYS]], WHISKY[[#All], [PRECIO WHISKYS]], ""),
            IF(_xlfn.XLOOKUP($B$25, GINEBRA[[#All], [GINEBRAS]], GINEBRA[[#All], [PRECIO GINEBRAS]], "")&lt;&gt;"",
                _xlfn.XLOOKUP($B$25, GINEBRA[[#All], [GINEBRAS]], GINEBRA[[#All], [PRECIO GINEBRAS]], ""),
                IF(_xlfn.XLOOKUP($B$25, TEQUILA[[#All], [TEQUILAS]], TEQUILA[[#All], [PRECIO TEQUILAS]], "")&lt;&gt;"",
                    _xlfn.XLOOKUP($B$25, TEQUILA[[#All], [TEQUILAS]], TEQUILA[[#All], [PRECIO TEQUILAS]], ""),
                    IF(_xlfn.XLOOKUP($B$25, LICOR[[#All], [LICORES]], LICOR[[#All], [PRECIO LICORES]], "")&lt;&gt;"",
                        _xlfn.XLOOKUP($B$25, LICOR[[#All], [LICORES]], LICOR[[#All], [PRECIO LICORES]], ""),
                        IF(_xlfn.XLOOKUP($B$25, VERMOUTH[[#All], [VERMOUTHS]], VERMOUTH[[#All], [PRECIO VERMOUTHS]], "")&lt;&gt;"",
                            _xlfn.XLOOKUP($B$25, VERMOUTH[[#All], [VERMOUTHS]], VERMOUTH[[#All], [PRECIO VERMOUTHS]], ""),
                            ""
                        )
                    )
                )
            )
        )
    )
)</f>
        <v/>
      </c>
      <c r="E25" s="49" t="str">
        <f>IF(OR($C$25="", $D$25=""), "", $C$25*$D$25)</f>
        <v/>
      </c>
      <c r="H25" s="17" t="s">
        <v>39</v>
      </c>
      <c r="I25" s="17"/>
      <c r="J25" s="18">
        <f>J22 - J24 + J23</f>
        <v>0</v>
      </c>
      <c r="K25" s="44"/>
      <c r="L25" s="46"/>
      <c r="N25" s="58" t="str" cm="1">
        <f t="array" ref="N25">IF(_xlfn.XLOOKUP($B$25, RON[[#All], [RONES]], RON[[#All], [PRECIO RONES]], "")&lt;&gt;"",
    _xlfn.XLOOKUP($B$25, RON[[#All], [RONES]], RON[[#All], [PRECIO RONES]], ""),
    IF(_xlfn.XLOOKUP($B$25, VODKA[[#All], [VODKAS]], VODKA[[#All], [PRECIO VODKAS]], "")&lt;&gt;"",
        _xlfn.XLOOKUP($B$25, VODKA[[#All], [VODKAS]], VODKA[[#All], [PRECIO VODKAS]], ""),
        IF(_xlfn.XLOOKUP($B$25, WHISKY[[#All], [WHISKYS]], WHISKY[[#All], [PRECIO WHISKYS]], "")&lt;&gt;"",
            _xlfn.XLOOKUP($B$25, WHISKY[[#All], [WHISKYS]], WHISKY[[#All], [PRECIO WHISKYS]], ""),
            IF(_xlfn.XLOOKUP($B$25, GINEBRA[[#All], [GINEBRAS]], GINEBRA[[#All], [PRECIO GINEBRAS]], "")&lt;&gt;"",
                _xlfn.XLOOKUP($B$25, GINEBRA[[#All], [GINEBRAS]], GINEBRA[[#All], [PRECIO GINEBRAS]], ""),
                IF(_xlfn.XLOOKUP($B$25, TEQUILA[[#All], [TEQUILAS]], TEQUILA[[#All], [PRECIO TEQUILAS]], "")&lt;&gt;"",
                    _xlfn.XLOOKUP($B$25, TEQUILA[[#All], [TEQUILAS]], TEQUILA[[#All], [PRECIO TEQUILAS]], ""),
                    IF(_xlfn.XLOOKUP($B$25, LICOR[[#All], [LICORES]], LICOR[[#All], [PRECIO LICORES]], "")&lt;&gt;"",
                        _xlfn.XLOOKUP($B$25, LICOR[[#All], [LICORES]], LICOR[[#All], [PRECIO LICORES]], ""),
                        IF(_xlfn.XLOOKUP($B$25, VERMOUTH[[#All], [VERMOUTHS]], VERMOUTH[[#All], [PRECIO VERMOUTHS]], "")&lt;&gt;"",
                            _xlfn.XLOOKUP($B$25, VERMOUTH[[#All], [VERMOUTHS]], VERMOUTH[[#All], [PRECIO VERMOUTHS]], ""),
                            ""
                        )
                    )
                )
            )
        )
    )
)</f>
        <v/>
      </c>
      <c r="O25" s="58" t="str">
        <f>IF(OR($C$25="", $D$25=""), "", $C$25*$D$25)</f>
        <v/>
      </c>
    </row>
    <row r="26" spans="1:15" x14ac:dyDescent="0.25">
      <c r="D26" s="49" t="str" cm="1">
        <f t="array" ref="D26">IF(_xlfn.XLOOKUP($B$26, RON[[#All], [RONES]], RON[[#All], [PRECIO RONES]], "")&lt;&gt;"",
    _xlfn.XLOOKUP($B$26, RON[[#All], [RONES]], RON[[#All], [PRECIO RONES]], ""),
    IF(_xlfn.XLOOKUP($B$26, VODKA[[#All], [VODKAS]], VODKA[[#All], [PRECIO VODKAS]], "")&lt;&gt;"",
        _xlfn.XLOOKUP($B$26, VODKA[[#All], [VODKAS]], VODKA[[#All], [PRECIO VODKAS]], ""),
        IF(_xlfn.XLOOKUP($B$26, WHISKY[[#All], [WHISKYS]], WHISKY[[#All], [PRECIO WHISKYS]], "")&lt;&gt;"",
            _xlfn.XLOOKUP($B$26, WHISKY[[#All], [WHISKYS]], WHISKY[[#All], [PRECIO WHISKYS]], ""),
            IF(_xlfn.XLOOKUP($B$26, GINEBRA[[#All], [GINEBRAS]], GINEBRA[[#All], [PRECIO GINEBRAS]], "")&lt;&gt;"",
                _xlfn.XLOOKUP($B$26, GINEBRA[[#All], [GINEBRAS]], GINEBRA[[#All], [PRECIO GINEBRAS]], ""),
                IF(_xlfn.XLOOKUP($B$26, TEQUILA[[#All], [TEQUILAS]], TEQUILA[[#All], [PRECIO TEQUILAS]], "")&lt;&gt;"",
                    _xlfn.XLOOKUP($B$26, TEQUILA[[#All], [TEQUILAS]], TEQUILA[[#All], [PRECIO TEQUILAS]], ""),
                    IF(_xlfn.XLOOKUP($B$26, LICOR[[#All], [LICORES]], LICOR[[#All], [PRECIO LICORES]], "")&lt;&gt;"",
                        _xlfn.XLOOKUP($B$26, LICOR[[#All], [LICORES]], LICOR[[#All], [PRECIO LICORES]], ""),
                        IF(_xlfn.XLOOKUP($B$26, VERMOUTH[[#All], [VERMOUTHS]], VERMOUTH[[#All], [PRECIO VERMOUTHS]], "")&lt;&gt;"",
                            _xlfn.XLOOKUP($B$26, VERMOUTH[[#All], [VERMOUTHS]], VERMOUTH[[#All], [PRECIO VERMOUTHS]], ""),
                            ""
                        )
                    )
                )
            )
        )
    )
)</f>
        <v/>
      </c>
      <c r="E26" s="49" t="str">
        <f>IF(OR($C$26="", $D$26=""), "", $C$26*$D$26)</f>
        <v/>
      </c>
      <c r="I26" s="27"/>
      <c r="K26" s="44"/>
      <c r="L26" s="46"/>
      <c r="N26" s="49" t="str" cm="1">
        <f t="array" ref="N26">IF(_xlfn.XLOOKUP($B$26, RON[[#All], [RONES]], RON[[#All], [PRECIO RONES]], "")&lt;&gt;"",
    _xlfn.XLOOKUP($B$26, RON[[#All], [RONES]], RON[[#All], [PRECIO RONES]], ""),
    IF(_xlfn.XLOOKUP($B$26, VODKA[[#All], [VODKAS]], VODKA[[#All], [PRECIO VODKAS]], "")&lt;&gt;"",
        _xlfn.XLOOKUP($B$26, VODKA[[#All], [VODKAS]], VODKA[[#All], [PRECIO VODKAS]], ""),
        IF(_xlfn.XLOOKUP($B$26, WHISKY[[#All], [WHISKYS]], WHISKY[[#All], [PRECIO WHISKYS]], "")&lt;&gt;"",
            _xlfn.XLOOKUP($B$26, WHISKY[[#All], [WHISKYS]], WHISKY[[#All], [PRECIO WHISKYS]], ""),
            IF(_xlfn.XLOOKUP($B$26, GINEBRA[[#All], [GINEBRAS]], GINEBRA[[#All], [PRECIO GINEBRAS]], "")&lt;&gt;"",
                _xlfn.XLOOKUP($B$26, GINEBRA[[#All], [GINEBRAS]], GINEBRA[[#All], [PRECIO GINEBRAS]], ""),
                IF(_xlfn.XLOOKUP($B$26, TEQUILA[[#All], [TEQUILAS]], TEQUILA[[#All], [PRECIO TEQUILAS]], "")&lt;&gt;"",
                    _xlfn.XLOOKUP($B$26, TEQUILA[[#All], [TEQUILAS]], TEQUILA[[#All], [PRECIO TEQUILAS]], ""),
                    IF(_xlfn.XLOOKUP($B$26, LICOR[[#All], [LICORES]], LICOR[[#All], [PRECIO LICORES]], "")&lt;&gt;"",
                        _xlfn.XLOOKUP($B$26, LICOR[[#All], [LICORES]], LICOR[[#All], [PRECIO LICORES]], ""),
                        IF(_xlfn.XLOOKUP($B$26, VERMOUTH[[#All], [VERMOUTHS]], VERMOUTH[[#All], [PRECIO VERMOUTHS]], "")&lt;&gt;"",
                            _xlfn.XLOOKUP($B$26, VERMOUTH[[#All], [VERMOUTHS]], VERMOUTH[[#All], [PRECIO VERMOUTHS]], ""),
                            ""
                        )
                    )
                )
            )
        )
    )
)</f>
        <v/>
      </c>
      <c r="O26" s="49" t="str">
        <f>IF(OR($C$26="", $D$26=""), "", $C$26*$D$26)</f>
        <v/>
      </c>
    </row>
    <row r="27" spans="1:15" x14ac:dyDescent="0.25">
      <c r="D27" s="49" t="str" cm="1">
        <f t="array" ref="D27">IF(_xlfn.XLOOKUP($B$27, RON[[#All], [RONES]], RON[[#All], [PRECIO RONES]], "")&lt;&gt;"",
    _xlfn.XLOOKUP($B$27, RON[[#All], [RONES]], RON[[#All], [PRECIO RONES]], ""),
    IF(_xlfn.XLOOKUP($B$27, VODKA[[#All], [VODKAS]], VODKA[[#All], [PRECIO VODKAS]], "")&lt;&gt;"",
        _xlfn.XLOOKUP($B$27, VODKA[[#All], [VODKAS]], VODKA[[#All], [PRECIO VODKAS]], ""),
        IF(_xlfn.XLOOKUP($B$27, WHISKY[[#All], [WHISKYS]], WHISKY[[#All], [PRECIO WHISKYS]], "")&lt;&gt;"",
            _xlfn.XLOOKUP($B$27, WHISKY[[#All], [WHISKYS]], WHISKY[[#All], [PRECIO WHISKYS]], ""),
            IF(_xlfn.XLOOKUP($B$27, GINEBRA[[#All], [GINEBRAS]], GINEBRA[[#All], [PRECIO GINEBRAS]], "")&lt;&gt;"",
                _xlfn.XLOOKUP($B$27, GINEBRA[[#All], [GINEBRAS]], GINEBRA[[#All], [PRECIO GINEBRAS]], ""),
                IF(_xlfn.XLOOKUP($B$27, TEQUILA[[#All], [TEQUILAS]], TEQUILA[[#All], [PRECIO TEQUILAS]], "")&lt;&gt;"",
                    _xlfn.XLOOKUP($B$27, TEQUILA[[#All], [TEQUILAS]], TEQUILA[[#All], [PRECIO TEQUILAS]], ""),
                    IF(_xlfn.XLOOKUP($B$27, LICOR[[#All], [LICORES]], LICOR[[#All], [PRECIO LICORES]], "")&lt;&gt;"",
                        _xlfn.XLOOKUP($B$27, LICOR[[#All], [LICORES]], LICOR[[#All], [PRECIO LICORES]], ""),
                        IF(_xlfn.XLOOKUP($B$27, VERMOUTH[[#All], [VERMOUTHS]], VERMOUTH[[#All], [PRECIO VERMOUTHS]], "")&lt;&gt;"",
                            _xlfn.XLOOKUP($B$27, VERMOUTH[[#All], [VERMOUTHS]], VERMOUTH[[#All], [PRECIO VERMOUTHS]], ""),
                            ""
                        )
                    )
                )
            )
        )
    )
)</f>
        <v/>
      </c>
      <c r="E27" s="49" t="str">
        <f>IF(OR($C$27="", $D$27=""), "", $C$27*$D$27)</f>
        <v/>
      </c>
      <c r="I27" s="27"/>
      <c r="K27" s="44"/>
      <c r="L27" s="46"/>
      <c r="N27" s="49" t="str" cm="1">
        <f t="array" ref="N27">IF(_xlfn.XLOOKUP($B$27, RON[[#All], [RONES]], RON[[#All], [PRECIO RONES]], "")&lt;&gt;"",
    _xlfn.XLOOKUP($B$27, RON[[#All], [RONES]], RON[[#All], [PRECIO RONES]], ""),
    IF(_xlfn.XLOOKUP($B$27, VODKA[[#All], [VODKAS]], VODKA[[#All], [PRECIO VODKAS]], "")&lt;&gt;"",
        _xlfn.XLOOKUP($B$27, VODKA[[#All], [VODKAS]], VODKA[[#All], [PRECIO VODKAS]], ""),
        IF(_xlfn.XLOOKUP($B$27, WHISKY[[#All], [WHISKYS]], WHISKY[[#All], [PRECIO WHISKYS]], "")&lt;&gt;"",
            _xlfn.XLOOKUP($B$27, WHISKY[[#All], [WHISKYS]], WHISKY[[#All], [PRECIO WHISKYS]], ""),
            IF(_xlfn.XLOOKUP($B$27, GINEBRA[[#All], [GINEBRAS]], GINEBRA[[#All], [PRECIO GINEBRAS]], "")&lt;&gt;"",
                _xlfn.XLOOKUP($B$27, GINEBRA[[#All], [GINEBRAS]], GINEBRA[[#All], [PRECIO GINEBRAS]], ""),
                IF(_xlfn.XLOOKUP($B$27, TEQUILA[[#All], [TEQUILAS]], TEQUILA[[#All], [PRECIO TEQUILAS]], "")&lt;&gt;"",
                    _xlfn.XLOOKUP($B$27, TEQUILA[[#All], [TEQUILAS]], TEQUILA[[#All], [PRECIO TEQUILAS]], ""),
                    IF(_xlfn.XLOOKUP($B$27, LICOR[[#All], [LICORES]], LICOR[[#All], [PRECIO LICORES]], "")&lt;&gt;"",
                        _xlfn.XLOOKUP($B$27, LICOR[[#All], [LICORES]], LICOR[[#All], [PRECIO LICORES]], ""),
                        IF(_xlfn.XLOOKUP($B$27, VERMOUTH[[#All], [VERMOUTHS]], VERMOUTH[[#All], [PRECIO VERMOUTHS]], "")&lt;&gt;"",
                            _xlfn.XLOOKUP($B$27, VERMOUTH[[#All], [VERMOUTHS]], VERMOUTH[[#All], [PRECIO VERMOUTHS]], ""),
                            ""
                        )
                    )
                )
            )
        )
    )
)</f>
        <v/>
      </c>
      <c r="O27" s="49" t="str">
        <f>IF(OR($C$27="", $D$27=""), "", $C$27*$D$27)</f>
        <v/>
      </c>
    </row>
    <row r="28" spans="1:15" x14ac:dyDescent="0.25">
      <c r="D28" s="49" t="str" cm="1">
        <f t="array" ref="D28">IF(_xlfn.XLOOKUP($B$28, RON[[#All], [RONES]], RON[[#All], [PRECIO RONES]], "")&lt;&gt;"",
    _xlfn.XLOOKUP($B$28, RON[[#All], [RONES]], RON[[#All], [PRECIO RONES]], ""),
    IF(_xlfn.XLOOKUP($B$28, VODKA[[#All], [VODKAS]], VODKA[[#All], [PRECIO VODKAS]], "")&lt;&gt;"",
        _xlfn.XLOOKUP($B$28, VODKA[[#All], [VODKAS]], VODKA[[#All], [PRECIO VODKAS]], ""),
        IF(_xlfn.XLOOKUP($B$28, WHISKY[[#All], [WHISKYS]], WHISKY[[#All], [PRECIO WHISKYS]], "")&lt;&gt;"",
            _xlfn.XLOOKUP($B$28, WHISKY[[#All], [WHISKYS]], WHISKY[[#All], [PRECIO WHISKYS]], ""),
            IF(_xlfn.XLOOKUP($B$28, GINEBRA[[#All], [GINEBRAS]], GINEBRA[[#All], [PRECIO GINEBRAS]], "")&lt;&gt;"",
                _xlfn.XLOOKUP($B$28, GINEBRA[[#All], [GINEBRAS]], GINEBRA[[#All], [PRECIO GINEBRAS]], ""),
                IF(_xlfn.XLOOKUP($B$28, TEQUILA[[#All], [TEQUILAS]], TEQUILA[[#All], [PRECIO TEQUILAS]], "")&lt;&gt;"",
                    _xlfn.XLOOKUP($B$28, TEQUILA[[#All], [TEQUILAS]], TEQUILA[[#All], [PRECIO TEQUILAS]], ""),
                    IF(_xlfn.XLOOKUP($B$28, LICOR[[#All], [LICORES]], LICOR[[#All], [PRECIO LICORES]], "")&lt;&gt;"",
                        _xlfn.XLOOKUP($B$28, LICOR[[#All], [LICORES]], LICOR[[#All], [PRECIO LICORES]], ""),
                        IF(_xlfn.XLOOKUP($B$28, VERMOUTH[[#All], [VERMOUTHS]], VERMOUTH[[#All], [PRECIO VERMOUTHS]], "")&lt;&gt;"",
                            _xlfn.XLOOKUP($B$28, VERMOUTH[[#All], [VERMOUTHS]], VERMOUTH[[#All], [PRECIO VERMOUTHS]], ""),
                            ""
                        )
                    )
                )
            )
        )
    )
)</f>
        <v/>
      </c>
      <c r="E28" s="49" t="str">
        <f>IF(OR($C$28="", $D$28=""), "", $C$28*$D$28)</f>
        <v/>
      </c>
      <c r="I28" s="27"/>
      <c r="K28" s="44"/>
      <c r="L28" s="46"/>
      <c r="N28" s="49" t="str" cm="1">
        <f t="array" ref="N28">IF(_xlfn.XLOOKUP($B$28, RON[[#All], [RONES]], RON[[#All], [PRECIO RONES]], "")&lt;&gt;"",
    _xlfn.XLOOKUP($B$28, RON[[#All], [RONES]], RON[[#All], [PRECIO RONES]], ""),
    IF(_xlfn.XLOOKUP($B$28, VODKA[[#All], [VODKAS]], VODKA[[#All], [PRECIO VODKAS]], "")&lt;&gt;"",
        _xlfn.XLOOKUP($B$28, VODKA[[#All], [VODKAS]], VODKA[[#All], [PRECIO VODKAS]], ""),
        IF(_xlfn.XLOOKUP($B$28, WHISKY[[#All], [WHISKYS]], WHISKY[[#All], [PRECIO WHISKYS]], "")&lt;&gt;"",
            _xlfn.XLOOKUP($B$28, WHISKY[[#All], [WHISKYS]], WHISKY[[#All], [PRECIO WHISKYS]], ""),
            IF(_xlfn.XLOOKUP($B$28, GINEBRA[[#All], [GINEBRAS]], GINEBRA[[#All], [PRECIO GINEBRAS]], "")&lt;&gt;"",
                _xlfn.XLOOKUP($B$28, GINEBRA[[#All], [GINEBRAS]], GINEBRA[[#All], [PRECIO GINEBRAS]], ""),
                IF(_xlfn.XLOOKUP($B$28, TEQUILA[[#All], [TEQUILAS]], TEQUILA[[#All], [PRECIO TEQUILAS]], "")&lt;&gt;"",
                    _xlfn.XLOOKUP($B$28, TEQUILA[[#All], [TEQUILAS]], TEQUILA[[#All], [PRECIO TEQUILAS]], ""),
                    IF(_xlfn.XLOOKUP($B$28, LICOR[[#All], [LICORES]], LICOR[[#All], [PRECIO LICORES]], "")&lt;&gt;"",
                        _xlfn.XLOOKUP($B$28, LICOR[[#All], [LICORES]], LICOR[[#All], [PRECIO LICORES]], ""),
                        IF(_xlfn.XLOOKUP($B$28, VERMOUTH[[#All], [VERMOUTHS]], VERMOUTH[[#All], [PRECIO VERMOUTHS]], "")&lt;&gt;"",
                            _xlfn.XLOOKUP($B$28, VERMOUTH[[#All], [VERMOUTHS]], VERMOUTH[[#All], [PRECIO VERMOUTHS]], ""),
                            ""
                        )
                    )
                )
            )
        )
    )
)</f>
        <v/>
      </c>
      <c r="O28" s="49" t="str">
        <f>IF(OR($C$28="", $D$28=""), "", $C$28*$D$28)</f>
        <v/>
      </c>
    </row>
    <row r="29" spans="1:15" x14ac:dyDescent="0.25">
      <c r="D29" s="49" t="str" cm="1">
        <f t="array" ref="D29">IF(_xlfn.XLOOKUP($B$29, RON[[#All], [RONES]], RON[[#All], [PRECIO RONES]], "")&lt;&gt;"",
    _xlfn.XLOOKUP($B$29, RON[[#All], [RONES]], RON[[#All], [PRECIO RONES]], ""),
    IF(_xlfn.XLOOKUP($B$29, VODKA[[#All], [VODKAS]], VODKA[[#All], [PRECIO VODKAS]], "")&lt;&gt;"",
        _xlfn.XLOOKUP($B$29, VODKA[[#All], [VODKAS]], VODKA[[#All], [PRECIO VODKAS]], ""),
        IF(_xlfn.XLOOKUP($B$29, WHISKY[[#All], [WHISKYS]], WHISKY[[#All], [PRECIO WHISKYS]], "")&lt;&gt;"",
            _xlfn.XLOOKUP($B$29, WHISKY[[#All], [WHISKYS]], WHISKY[[#All], [PRECIO WHISKYS]], ""),
            IF(_xlfn.XLOOKUP($B$29, GINEBRA[[#All], [GINEBRAS]], GINEBRA[[#All], [PRECIO GINEBRAS]], "")&lt;&gt;"",
                _xlfn.XLOOKUP($B$29, GINEBRA[[#All], [GINEBRAS]], GINEBRA[[#All], [PRECIO GINEBRAS]], ""),
                IF(_xlfn.XLOOKUP($B$29, TEQUILA[[#All], [TEQUILAS]], TEQUILA[[#All], [PRECIO TEQUILAS]], "")&lt;&gt;"",
                    _xlfn.XLOOKUP($B$29, TEQUILA[[#All], [TEQUILAS]], TEQUILA[[#All], [PRECIO TEQUILAS]], ""),
                    IF(_xlfn.XLOOKUP($B$29, LICOR[[#All], [LICORES]], LICOR[[#All], [PRECIO LICORES]], "")&lt;&gt;"",
                        _xlfn.XLOOKUP($B$29, LICOR[[#All], [LICORES]], LICOR[[#All], [PRECIO LICORES]], ""),
                        IF(_xlfn.XLOOKUP($B$29, VERMOUTH[[#All], [VERMOUTHS]], VERMOUTH[[#All], [PRECIO VERMOUTHS]], "")&lt;&gt;"",
                            _xlfn.XLOOKUP($B$29, VERMOUTH[[#All], [VERMOUTHS]], VERMOUTH[[#All], [PRECIO VERMOUTHS]], ""),
                            ""
                        )
                    )
                )
            )
        )
    )
)</f>
        <v/>
      </c>
      <c r="E29" s="49" t="str">
        <f>IF(OR($C$29="", $D$29=""), "", $C$29*$D$29)</f>
        <v/>
      </c>
      <c r="I29" s="27"/>
      <c r="K29" s="44"/>
      <c r="L29" s="46"/>
      <c r="N29" s="49" t="str" cm="1">
        <f t="array" ref="N29">IF(_xlfn.XLOOKUP($B$29, RON[[#All], [RONES]], RON[[#All], [PRECIO RONES]], "")&lt;&gt;"",
    _xlfn.XLOOKUP($B$29, RON[[#All], [RONES]], RON[[#All], [PRECIO RONES]], ""),
    IF(_xlfn.XLOOKUP($B$29, VODKA[[#All], [VODKAS]], VODKA[[#All], [PRECIO VODKAS]], "")&lt;&gt;"",
        _xlfn.XLOOKUP($B$29, VODKA[[#All], [VODKAS]], VODKA[[#All], [PRECIO VODKAS]], ""),
        IF(_xlfn.XLOOKUP($B$29, WHISKY[[#All], [WHISKYS]], WHISKY[[#All], [PRECIO WHISKYS]], "")&lt;&gt;"",
            _xlfn.XLOOKUP($B$29, WHISKY[[#All], [WHISKYS]], WHISKY[[#All], [PRECIO WHISKYS]], ""),
            IF(_xlfn.XLOOKUP($B$29, GINEBRA[[#All], [GINEBRAS]], GINEBRA[[#All], [PRECIO GINEBRAS]], "")&lt;&gt;"",
                _xlfn.XLOOKUP($B$29, GINEBRA[[#All], [GINEBRAS]], GINEBRA[[#All], [PRECIO GINEBRAS]], ""),
                IF(_xlfn.XLOOKUP($B$29, TEQUILA[[#All], [TEQUILAS]], TEQUILA[[#All], [PRECIO TEQUILAS]], "")&lt;&gt;"",
                    _xlfn.XLOOKUP($B$29, TEQUILA[[#All], [TEQUILAS]], TEQUILA[[#All], [PRECIO TEQUILAS]], ""),
                    IF(_xlfn.XLOOKUP($B$29, LICOR[[#All], [LICORES]], LICOR[[#All], [PRECIO LICORES]], "")&lt;&gt;"",
                        _xlfn.XLOOKUP($B$29, LICOR[[#All], [LICORES]], LICOR[[#All], [PRECIO LICORES]], ""),
                        IF(_xlfn.XLOOKUP($B$29, VERMOUTH[[#All], [VERMOUTHS]], VERMOUTH[[#All], [PRECIO VERMOUTHS]], "")&lt;&gt;"",
                            _xlfn.XLOOKUP($B$29, VERMOUTH[[#All], [VERMOUTHS]], VERMOUTH[[#All], [PRECIO VERMOUTHS]], ""),
                            ""
                        )
                    )
                )
            )
        )
    )
)</f>
        <v/>
      </c>
      <c r="O29" s="49" t="str">
        <f>IF(OR($C$29="", $D$29=""), "", $C$29*$D$29)</f>
        <v/>
      </c>
    </row>
    <row r="30" spans="1:15" x14ac:dyDescent="0.25">
      <c r="D30" s="49" t="str" cm="1">
        <f t="array" ref="D30">IF(_xlfn.XLOOKUP($B$30, RON[[#All], [RONES]], RON[[#All], [PRECIO RONES]], "")&lt;&gt;"",
    _xlfn.XLOOKUP($B$30, RON[[#All], [RONES]], RON[[#All], [PRECIO RONES]], ""),
    IF(_xlfn.XLOOKUP($B$30, VODKA[[#All], [VODKAS]], VODKA[[#All], [PRECIO VODKAS]], "")&lt;&gt;"",
        _xlfn.XLOOKUP($B$30, VODKA[[#All], [VODKAS]], VODKA[[#All], [PRECIO VODKAS]], ""),
        IF(_xlfn.XLOOKUP($B$30, WHISKY[[#All], [WHISKYS]], WHISKY[[#All], [PRECIO WHISKYS]], "")&lt;&gt;"",
            _xlfn.XLOOKUP($B$30, WHISKY[[#All], [WHISKYS]], WHISKY[[#All], [PRECIO WHISKYS]], ""),
            IF(_xlfn.XLOOKUP($B$30, GINEBRA[[#All], [GINEBRAS]], GINEBRA[[#All], [PRECIO GINEBRAS]], "")&lt;&gt;"",
                _xlfn.XLOOKUP($B$30, GINEBRA[[#All], [GINEBRAS]], GINEBRA[[#All], [PRECIO GINEBRAS]], ""),
                IF(_xlfn.XLOOKUP($B$30, TEQUILA[[#All], [TEQUILAS]], TEQUILA[[#All], [PRECIO TEQUILAS]], "")&lt;&gt;"",
                    _xlfn.XLOOKUP($B$30, TEQUILA[[#All], [TEQUILAS]], TEQUILA[[#All], [PRECIO TEQUILAS]], ""),
                    IF(_xlfn.XLOOKUP($B$30, LICOR[[#All], [LICORES]], LICOR[[#All], [PRECIO LICORES]], "")&lt;&gt;"",
                        _xlfn.XLOOKUP($B$30, LICOR[[#All], [LICORES]], LICOR[[#All], [PRECIO LICORES]], ""),
                        IF(_xlfn.XLOOKUP($B$30, VERMOUTH[[#All], [VERMOUTHS]], VERMOUTH[[#All], [PRECIO VERMOUTHS]], "")&lt;&gt;"",
                            _xlfn.XLOOKUP($B$30, VERMOUTH[[#All], [VERMOUTHS]], VERMOUTH[[#All], [PRECIO VERMOUTHS]], ""),
                            ""
                        )
                    )
                )
            )
        )
    )
)</f>
        <v/>
      </c>
      <c r="E30" s="49" t="str">
        <f>IF(OR($C$30="", $D$30=""), "", $C$30*$D$30)</f>
        <v/>
      </c>
      <c r="I30" s="27"/>
      <c r="K30" s="44"/>
      <c r="L30" s="46"/>
      <c r="N30" s="49" t="str" cm="1">
        <f t="array" ref="N30">IF(_xlfn.XLOOKUP($B$30, RON[[#All], [RONES]], RON[[#All], [PRECIO RONES]], "")&lt;&gt;"",
    _xlfn.XLOOKUP($B$30, RON[[#All], [RONES]], RON[[#All], [PRECIO RONES]], ""),
    IF(_xlfn.XLOOKUP($B$30, VODKA[[#All], [VODKAS]], VODKA[[#All], [PRECIO VODKAS]], "")&lt;&gt;"",
        _xlfn.XLOOKUP($B$30, VODKA[[#All], [VODKAS]], VODKA[[#All], [PRECIO VODKAS]], ""),
        IF(_xlfn.XLOOKUP($B$30, WHISKY[[#All], [WHISKYS]], WHISKY[[#All], [PRECIO WHISKYS]], "")&lt;&gt;"",
            _xlfn.XLOOKUP($B$30, WHISKY[[#All], [WHISKYS]], WHISKY[[#All], [PRECIO WHISKYS]], ""),
            IF(_xlfn.XLOOKUP($B$30, GINEBRA[[#All], [GINEBRAS]], GINEBRA[[#All], [PRECIO GINEBRAS]], "")&lt;&gt;"",
                _xlfn.XLOOKUP($B$30, GINEBRA[[#All], [GINEBRAS]], GINEBRA[[#All], [PRECIO GINEBRAS]], ""),
                IF(_xlfn.XLOOKUP($B$30, TEQUILA[[#All], [TEQUILAS]], TEQUILA[[#All], [PRECIO TEQUILAS]], "")&lt;&gt;"",
                    _xlfn.XLOOKUP($B$30, TEQUILA[[#All], [TEQUILAS]], TEQUILA[[#All], [PRECIO TEQUILAS]], ""),
                    IF(_xlfn.XLOOKUP($B$30, LICOR[[#All], [LICORES]], LICOR[[#All], [PRECIO LICORES]], "")&lt;&gt;"",
                        _xlfn.XLOOKUP($B$30, LICOR[[#All], [LICORES]], LICOR[[#All], [PRECIO LICORES]], ""),
                        IF(_xlfn.XLOOKUP($B$30, VERMOUTH[[#All], [VERMOUTHS]], VERMOUTH[[#All], [PRECIO VERMOUTHS]], "")&lt;&gt;"",
                            _xlfn.XLOOKUP($B$30, VERMOUTH[[#All], [VERMOUTHS]], VERMOUTH[[#All], [PRECIO VERMOUTHS]], ""),
                            ""
                        )
                    )
                )
            )
        )
    )
)</f>
        <v/>
      </c>
      <c r="O30" s="49" t="str">
        <f>IF(OR($C$30="", $D$30=""), "", $C$30*$D$30)</f>
        <v/>
      </c>
    </row>
    <row r="31" spans="1:15" x14ac:dyDescent="0.25">
      <c r="D31" s="49" t="str" cm="1">
        <f t="array" ref="D31">IF(_xlfn.XLOOKUP($B$31, RON[[#All], [RONES]], RON[[#All], [PRECIO RONES]], "")&lt;&gt;"",
    _xlfn.XLOOKUP($B$31, RON[[#All], [RONES]], RON[[#All], [PRECIO RONES]], ""),
    IF(_xlfn.XLOOKUP($B$31, VODKA[[#All], [VODKAS]], VODKA[[#All], [PRECIO VODKAS]], "")&lt;&gt;"",
        _xlfn.XLOOKUP($B$31, VODKA[[#All], [VODKAS]], VODKA[[#All], [PRECIO VODKAS]], ""),
        IF(_xlfn.XLOOKUP($B$31, WHISKY[[#All], [WHISKYS]], WHISKY[[#All], [PRECIO WHISKYS]], "")&lt;&gt;"",
            _xlfn.XLOOKUP($B$31, WHISKY[[#All], [WHISKYS]], WHISKY[[#All], [PRECIO WHISKYS]], ""),
            IF(_xlfn.XLOOKUP($B$31, GINEBRA[[#All], [GINEBRAS]], GINEBRA[[#All], [PRECIO GINEBRAS]], "")&lt;&gt;"",
                _xlfn.XLOOKUP($B$31, GINEBRA[[#All], [GINEBRAS]], GINEBRA[[#All], [PRECIO GINEBRAS]], ""),
                IF(_xlfn.XLOOKUP($B$31, TEQUILA[[#All], [TEQUILAS]], TEQUILA[[#All], [PRECIO TEQUILAS]], "")&lt;&gt;"",
                    _xlfn.XLOOKUP($B$31, TEQUILA[[#All], [TEQUILAS]], TEQUILA[[#All], [PRECIO TEQUILAS]], ""),
                    IF(_xlfn.XLOOKUP($B$31, LICOR[[#All], [LICORES]], LICOR[[#All], [PRECIO LICORES]], "")&lt;&gt;"",
                        _xlfn.XLOOKUP($B$31, LICOR[[#All], [LICORES]], LICOR[[#All], [PRECIO LICORES]], ""),
                        IF(_xlfn.XLOOKUP($B$31, VERMOUTH[[#All], [VERMOUTHS]], VERMOUTH[[#All], [PRECIO VERMOUTHS]], "")&lt;&gt;"",
                            _xlfn.XLOOKUP($B$31, VERMOUTH[[#All], [VERMOUTHS]], VERMOUTH[[#All], [PRECIO VERMOUTHS]], ""),
                            ""
                        )
                    )
                )
            )
        )
    )
)</f>
        <v/>
      </c>
      <c r="E31" s="49" t="str">
        <f>IF(OR($C$31="", $D$31=""), "", $C$31*$D$31)</f>
        <v/>
      </c>
      <c r="I31" s="27"/>
      <c r="K31" s="44"/>
      <c r="L31" s="46"/>
      <c r="N31" s="49" t="str" cm="1">
        <f t="array" ref="N31">IF(_xlfn.XLOOKUP($B$31, RON[[#All], [RONES]], RON[[#All], [PRECIO RONES]], "")&lt;&gt;"",
    _xlfn.XLOOKUP($B$31, RON[[#All], [RONES]], RON[[#All], [PRECIO RONES]], ""),
    IF(_xlfn.XLOOKUP($B$31, VODKA[[#All], [VODKAS]], VODKA[[#All], [PRECIO VODKAS]], "")&lt;&gt;"",
        _xlfn.XLOOKUP($B$31, VODKA[[#All], [VODKAS]], VODKA[[#All], [PRECIO VODKAS]], ""),
        IF(_xlfn.XLOOKUP($B$31, WHISKY[[#All], [WHISKYS]], WHISKY[[#All], [PRECIO WHISKYS]], "")&lt;&gt;"",
            _xlfn.XLOOKUP($B$31, WHISKY[[#All], [WHISKYS]], WHISKY[[#All], [PRECIO WHISKYS]], ""),
            IF(_xlfn.XLOOKUP($B$31, GINEBRA[[#All], [GINEBRAS]], GINEBRA[[#All], [PRECIO GINEBRAS]], "")&lt;&gt;"",
                _xlfn.XLOOKUP($B$31, GINEBRA[[#All], [GINEBRAS]], GINEBRA[[#All], [PRECIO GINEBRAS]], ""),
                IF(_xlfn.XLOOKUP($B$31, TEQUILA[[#All], [TEQUILAS]], TEQUILA[[#All], [PRECIO TEQUILAS]], "")&lt;&gt;"",
                    _xlfn.XLOOKUP($B$31, TEQUILA[[#All], [TEQUILAS]], TEQUILA[[#All], [PRECIO TEQUILAS]], ""),
                    IF(_xlfn.XLOOKUP($B$31, LICOR[[#All], [LICORES]], LICOR[[#All], [PRECIO LICORES]], "")&lt;&gt;"",
                        _xlfn.XLOOKUP($B$31, LICOR[[#All], [LICORES]], LICOR[[#All], [PRECIO LICORES]], ""),
                        IF(_xlfn.XLOOKUP($B$31, VERMOUTH[[#All], [VERMOUTHS]], VERMOUTH[[#All], [PRECIO VERMOUTHS]], "")&lt;&gt;"",
                            _xlfn.XLOOKUP($B$31, VERMOUTH[[#All], [VERMOUTHS]], VERMOUTH[[#All], [PRECIO VERMOUTHS]], ""),
                            ""
                        )
                    )
                )
            )
        )
    )
)</f>
        <v/>
      </c>
      <c r="O31" s="49" t="str">
        <f>IF(OR($C$31="", $D$31=""), "", $C$31*$D$31)</f>
        <v/>
      </c>
    </row>
    <row r="32" spans="1:15" x14ac:dyDescent="0.25">
      <c r="D32" s="49" t="str" cm="1">
        <f t="array" ref="D32">IF(_xlfn.XLOOKUP($B$32, RON[[#All], [RONES]], RON[[#All], [PRECIO RONES]], "")&lt;&gt;"",
    _xlfn.XLOOKUP($B$32, RON[[#All], [RONES]], RON[[#All], [PRECIO RONES]], ""),
    IF(_xlfn.XLOOKUP($B$32, VODKA[[#All], [VODKAS]], VODKA[[#All], [PRECIO VODKAS]], "")&lt;&gt;"",
        _xlfn.XLOOKUP($B$32, VODKA[[#All], [VODKAS]], VODKA[[#All], [PRECIO VODKAS]], ""),
        IF(_xlfn.XLOOKUP($B$32, WHISKY[[#All], [WHISKYS]], WHISKY[[#All], [PRECIO WHISKYS]], "")&lt;&gt;"",
            _xlfn.XLOOKUP($B$32, WHISKY[[#All], [WHISKYS]], WHISKY[[#All], [PRECIO WHISKYS]], ""),
            IF(_xlfn.XLOOKUP($B$32, GINEBRA[[#All], [GINEBRAS]], GINEBRA[[#All], [PRECIO GINEBRAS]], "")&lt;&gt;"",
                _xlfn.XLOOKUP($B$32, GINEBRA[[#All], [GINEBRAS]], GINEBRA[[#All], [PRECIO GINEBRAS]], ""),
                IF(_xlfn.XLOOKUP($B$32, TEQUILA[[#All], [TEQUILAS]], TEQUILA[[#All], [PRECIO TEQUILAS]], "")&lt;&gt;"",
                    _xlfn.XLOOKUP($B$32, TEQUILA[[#All], [TEQUILAS]], TEQUILA[[#All], [PRECIO TEQUILAS]], ""),
                    IF(_xlfn.XLOOKUP($B$32, LICOR[[#All], [LICORES]], LICOR[[#All], [PRECIO LICORES]], "")&lt;&gt;"",
                        _xlfn.XLOOKUP($B$32, LICOR[[#All], [LICORES]], LICOR[[#All], [PRECIO LICORES]], ""),
                        IF(_xlfn.XLOOKUP($B$32, VERMOUTH[[#All], [VERMOUTHS]], VERMOUTH[[#All], [PRECIO VERMOUTHS]], "")&lt;&gt;"",
                            _xlfn.XLOOKUP($B$32, VERMOUTH[[#All], [VERMOUTHS]], VERMOUTH[[#All], [PRECIO VERMOUTHS]], ""),
                            ""
                        )
                    )
                )
            )
        )
    )
)</f>
        <v/>
      </c>
      <c r="E32" s="49" t="str">
        <f>IF(OR($C$32="", $D$32=""), "", $C$32*$D$32)</f>
        <v/>
      </c>
      <c r="I32" s="27"/>
      <c r="K32" s="44"/>
      <c r="L32" s="46"/>
      <c r="N32" s="49" t="str" cm="1">
        <f t="array" ref="N32">IF(_xlfn.XLOOKUP($B$32, RON[[#All], [RONES]], RON[[#All], [PRECIO RONES]], "")&lt;&gt;"",
    _xlfn.XLOOKUP($B$32, RON[[#All], [RONES]], RON[[#All], [PRECIO RONES]], ""),
    IF(_xlfn.XLOOKUP($B$32, VODKA[[#All], [VODKAS]], VODKA[[#All], [PRECIO VODKAS]], "")&lt;&gt;"",
        _xlfn.XLOOKUP($B$32, VODKA[[#All], [VODKAS]], VODKA[[#All], [PRECIO VODKAS]], ""),
        IF(_xlfn.XLOOKUP($B$32, WHISKY[[#All], [WHISKYS]], WHISKY[[#All], [PRECIO WHISKYS]], "")&lt;&gt;"",
            _xlfn.XLOOKUP($B$32, WHISKY[[#All], [WHISKYS]], WHISKY[[#All], [PRECIO WHISKYS]], ""),
            IF(_xlfn.XLOOKUP($B$32, GINEBRA[[#All], [GINEBRAS]], GINEBRA[[#All], [PRECIO GINEBRAS]], "")&lt;&gt;"",
                _xlfn.XLOOKUP($B$32, GINEBRA[[#All], [GINEBRAS]], GINEBRA[[#All], [PRECIO GINEBRAS]], ""),
                IF(_xlfn.XLOOKUP($B$32, TEQUILA[[#All], [TEQUILAS]], TEQUILA[[#All], [PRECIO TEQUILAS]], "")&lt;&gt;"",
                    _xlfn.XLOOKUP($B$32, TEQUILA[[#All], [TEQUILAS]], TEQUILA[[#All], [PRECIO TEQUILAS]], ""),
                    IF(_xlfn.XLOOKUP($B$32, LICOR[[#All], [LICORES]], LICOR[[#All], [PRECIO LICORES]], "")&lt;&gt;"",
                        _xlfn.XLOOKUP($B$32, LICOR[[#All], [LICORES]], LICOR[[#All], [PRECIO LICORES]], ""),
                        IF(_xlfn.XLOOKUP($B$32, VERMOUTH[[#All], [VERMOUTHS]], VERMOUTH[[#All], [PRECIO VERMOUTHS]], "")&lt;&gt;"",
                            _xlfn.XLOOKUP($B$32, VERMOUTH[[#All], [VERMOUTHS]], VERMOUTH[[#All], [PRECIO VERMOUTHS]], ""),
                            ""
                        )
                    )
                )
            )
        )
    )
)</f>
        <v/>
      </c>
      <c r="O32" s="49" t="str">
        <f>IF(OR($C$32="", $D$32=""), "", $C$32*$D$32)</f>
        <v/>
      </c>
    </row>
    <row r="33" spans="3:15" x14ac:dyDescent="0.25">
      <c r="D33" s="49" t="str" cm="1">
        <f t="array" ref="D33">IF(_xlfn.XLOOKUP($B$33, RON[[#All], [RONES]], RON[[#All], [PRECIO RONES]], "")&lt;&gt;"",
    _xlfn.XLOOKUP($B$33, RON[[#All], [RONES]], RON[[#All], [PRECIO RONES]], ""),
    IF(_xlfn.XLOOKUP($B$33, VODKA[[#All], [VODKAS]], VODKA[[#All], [PRECIO VODKAS]], "")&lt;&gt;"",
        _xlfn.XLOOKUP($B$33, VODKA[[#All], [VODKAS]], VODKA[[#All], [PRECIO VODKAS]], ""),
        IF(_xlfn.XLOOKUP($B$33, WHISKY[[#All], [WHISKYS]], WHISKY[[#All], [PRECIO WHISKYS]], "")&lt;&gt;"",
            _xlfn.XLOOKUP($B$33, WHISKY[[#All], [WHISKYS]], WHISKY[[#All], [PRECIO WHISKYS]], ""),
            IF(_xlfn.XLOOKUP($B$33, GINEBRA[[#All], [GINEBRAS]], GINEBRA[[#All], [PRECIO GINEBRAS]], "")&lt;&gt;"",
                _xlfn.XLOOKUP($B$33, GINEBRA[[#All], [GINEBRAS]], GINEBRA[[#All], [PRECIO GINEBRAS]], ""),
                IF(_xlfn.XLOOKUP($B$33, TEQUILA[[#All], [TEQUILAS]], TEQUILA[[#All], [PRECIO TEQUILAS]], "")&lt;&gt;"",
                    _xlfn.XLOOKUP($B$33, TEQUILA[[#All], [TEQUILAS]], TEQUILA[[#All], [PRECIO TEQUILAS]], ""),
                    IF(_xlfn.XLOOKUP($B$33, LICOR[[#All], [LICORES]], LICOR[[#All], [PRECIO LICORES]], "")&lt;&gt;"",
                        _xlfn.XLOOKUP($B$33, LICOR[[#All], [LICORES]], LICOR[[#All], [PRECIO LICORES]], ""),
                        IF(_xlfn.XLOOKUP($B$33, VERMOUTH[[#All], [VERMOUTHS]], VERMOUTH[[#All], [PRECIO VERMOUTHS]], "")&lt;&gt;"",
                            _xlfn.XLOOKUP($B$33, VERMOUTH[[#All], [VERMOUTHS]], VERMOUTH[[#All], [PRECIO VERMOUTHS]], ""),
                            ""
                        )
                    )
                )
            )
        )
    )
)</f>
        <v/>
      </c>
      <c r="E33" s="49" t="str">
        <f>IF(OR($C$33="", $D$33=""), "", $C$33*$D$33)</f>
        <v/>
      </c>
      <c r="I33" s="27"/>
      <c r="K33" s="44"/>
      <c r="L33" s="46"/>
      <c r="N33" s="49" t="str" cm="1">
        <f t="array" ref="N33">IF(_xlfn.XLOOKUP($B$33, RON[[#All], [RONES]], RON[[#All], [PRECIO RONES]], "")&lt;&gt;"",
    _xlfn.XLOOKUP($B$33, RON[[#All], [RONES]], RON[[#All], [PRECIO RONES]], ""),
    IF(_xlfn.XLOOKUP($B$33, VODKA[[#All], [VODKAS]], VODKA[[#All], [PRECIO VODKAS]], "")&lt;&gt;"",
        _xlfn.XLOOKUP($B$33, VODKA[[#All], [VODKAS]], VODKA[[#All], [PRECIO VODKAS]], ""),
        IF(_xlfn.XLOOKUP($B$33, WHISKY[[#All], [WHISKYS]], WHISKY[[#All], [PRECIO WHISKYS]], "")&lt;&gt;"",
            _xlfn.XLOOKUP($B$33, WHISKY[[#All], [WHISKYS]], WHISKY[[#All], [PRECIO WHISKYS]], ""),
            IF(_xlfn.XLOOKUP($B$33, GINEBRA[[#All], [GINEBRAS]], GINEBRA[[#All], [PRECIO GINEBRAS]], "")&lt;&gt;"",
                _xlfn.XLOOKUP($B$33, GINEBRA[[#All], [GINEBRAS]], GINEBRA[[#All], [PRECIO GINEBRAS]], ""),
                IF(_xlfn.XLOOKUP($B$33, TEQUILA[[#All], [TEQUILAS]], TEQUILA[[#All], [PRECIO TEQUILAS]], "")&lt;&gt;"",
                    _xlfn.XLOOKUP($B$33, TEQUILA[[#All], [TEQUILAS]], TEQUILA[[#All], [PRECIO TEQUILAS]], ""),
                    IF(_xlfn.XLOOKUP($B$33, LICOR[[#All], [LICORES]], LICOR[[#All], [PRECIO LICORES]], "")&lt;&gt;"",
                        _xlfn.XLOOKUP($B$33, LICOR[[#All], [LICORES]], LICOR[[#All], [PRECIO LICORES]], ""),
                        IF(_xlfn.XLOOKUP($B$33, VERMOUTH[[#All], [VERMOUTHS]], VERMOUTH[[#All], [PRECIO VERMOUTHS]], "")&lt;&gt;"",
                            _xlfn.XLOOKUP($B$33, VERMOUTH[[#All], [VERMOUTHS]], VERMOUTH[[#All], [PRECIO VERMOUTHS]], ""),
                            ""
                        )
                    )
                )
            )
        )
    )
)</f>
        <v/>
      </c>
      <c r="O33" s="49" t="str">
        <f>IF(OR($C$33="", $D$33=""), "", $C$33*$D$33)</f>
        <v/>
      </c>
    </row>
    <row r="34" spans="3:15" x14ac:dyDescent="0.25">
      <c r="D34" s="49" t="str" cm="1">
        <f t="array" ref="D34">IF(_xlfn.XLOOKUP($B$34, RON[[#All], [RONES]], RON[[#All], [PRECIO RONES]], "")&lt;&gt;"",
    _xlfn.XLOOKUP($B$34, RON[[#All], [RONES]], RON[[#All], [PRECIO RONES]], ""),
    IF(_xlfn.XLOOKUP($B$34, VODKA[[#All], [VODKAS]], VODKA[[#All], [PRECIO VODKAS]], "")&lt;&gt;"",
        _xlfn.XLOOKUP($B$34, VODKA[[#All], [VODKAS]], VODKA[[#All], [PRECIO VODKAS]], ""),
        IF(_xlfn.XLOOKUP($B$34, WHISKY[[#All], [WHISKYS]], WHISKY[[#All], [PRECIO WHISKYS]], "")&lt;&gt;"",
            _xlfn.XLOOKUP($B$34, WHISKY[[#All], [WHISKYS]], WHISKY[[#All], [PRECIO WHISKYS]], ""),
            IF(_xlfn.XLOOKUP($B$34, GINEBRA[[#All], [GINEBRAS]], GINEBRA[[#All], [PRECIO GINEBRAS]], "")&lt;&gt;"",
                _xlfn.XLOOKUP($B$34, GINEBRA[[#All], [GINEBRAS]], GINEBRA[[#All], [PRECIO GINEBRAS]], ""),
                IF(_xlfn.XLOOKUP($B$34, TEQUILA[[#All], [TEQUILAS]], TEQUILA[[#All], [PRECIO TEQUILAS]], "")&lt;&gt;"",
                    _xlfn.XLOOKUP($B$34, TEQUILA[[#All], [TEQUILAS]], TEQUILA[[#All], [PRECIO TEQUILAS]], ""),
                    IF(_xlfn.XLOOKUP($B$34, LICOR[[#All], [LICORES]], LICOR[[#All], [PRECIO LICORES]], "")&lt;&gt;"",
                        _xlfn.XLOOKUP($B$34, LICOR[[#All], [LICORES]], LICOR[[#All], [PRECIO LICORES]], ""),
                        IF(_xlfn.XLOOKUP($B$34, VERMOUTH[[#All], [VERMOUTHS]], VERMOUTH[[#All], [PRECIO VERMOUTHS]], "")&lt;&gt;"",
                            _xlfn.XLOOKUP($B$34, VERMOUTH[[#All], [VERMOUTHS]], VERMOUTH[[#All], [PRECIO VERMOUTHS]], ""),
                            ""
                        )
                    )
                )
            )
        )
    )
)</f>
        <v/>
      </c>
      <c r="E34" s="49" t="str">
        <f>IF(OR($C$34="", $D$34=""), "", $C$34*$D$34)</f>
        <v/>
      </c>
      <c r="I34" s="27"/>
      <c r="K34" s="44"/>
      <c r="L34" s="46"/>
      <c r="N34" s="49" t="str" cm="1">
        <f t="array" ref="N34">IF(_xlfn.XLOOKUP($B$34, RON[[#All], [RONES]], RON[[#All], [PRECIO RONES]], "")&lt;&gt;"",
    _xlfn.XLOOKUP($B$34, RON[[#All], [RONES]], RON[[#All], [PRECIO RONES]], ""),
    IF(_xlfn.XLOOKUP($B$34, VODKA[[#All], [VODKAS]], VODKA[[#All], [PRECIO VODKAS]], "")&lt;&gt;"",
        _xlfn.XLOOKUP($B$34, VODKA[[#All], [VODKAS]], VODKA[[#All], [PRECIO VODKAS]], ""),
        IF(_xlfn.XLOOKUP($B$34, WHISKY[[#All], [WHISKYS]], WHISKY[[#All], [PRECIO WHISKYS]], "")&lt;&gt;"",
            _xlfn.XLOOKUP($B$34, WHISKY[[#All], [WHISKYS]], WHISKY[[#All], [PRECIO WHISKYS]], ""),
            IF(_xlfn.XLOOKUP($B$34, GINEBRA[[#All], [GINEBRAS]], GINEBRA[[#All], [PRECIO GINEBRAS]], "")&lt;&gt;"",
                _xlfn.XLOOKUP($B$34, GINEBRA[[#All], [GINEBRAS]], GINEBRA[[#All], [PRECIO GINEBRAS]], ""),
                IF(_xlfn.XLOOKUP($B$34, TEQUILA[[#All], [TEQUILAS]], TEQUILA[[#All], [PRECIO TEQUILAS]], "")&lt;&gt;"",
                    _xlfn.XLOOKUP($B$34, TEQUILA[[#All], [TEQUILAS]], TEQUILA[[#All], [PRECIO TEQUILAS]], ""),
                    IF(_xlfn.XLOOKUP($B$34, LICOR[[#All], [LICORES]], LICOR[[#All], [PRECIO LICORES]], "")&lt;&gt;"",
                        _xlfn.XLOOKUP($B$34, LICOR[[#All], [LICORES]], LICOR[[#All], [PRECIO LICORES]], ""),
                        IF(_xlfn.XLOOKUP($B$34, VERMOUTH[[#All], [VERMOUTHS]], VERMOUTH[[#All], [PRECIO VERMOUTHS]], "")&lt;&gt;"",
                            _xlfn.XLOOKUP($B$34, VERMOUTH[[#All], [VERMOUTHS]], VERMOUTH[[#All], [PRECIO VERMOUTHS]], ""),
                            ""
                        )
                    )
                )
            )
        )
    )
)</f>
        <v/>
      </c>
      <c r="O34" s="49" t="str">
        <f>IF(OR($C$34="", $D$34=""), "", $C$34*$D$34)</f>
        <v/>
      </c>
    </row>
    <row r="35" spans="3:15" x14ac:dyDescent="0.25">
      <c r="D35" s="49" t="str" cm="1">
        <f t="array" ref="D35">IF(_xlfn.XLOOKUP($B$35, RON[[#All], [RONES]], RON[[#All], [PRECIO RONES]], "")&lt;&gt;"",
    _xlfn.XLOOKUP($B$35, RON[[#All], [RONES]], RON[[#All], [PRECIO RONES]], ""),
    IF(_xlfn.XLOOKUP($B$35, VODKA[[#All], [VODKAS]], VODKA[[#All], [PRECIO VODKAS]], "")&lt;&gt;"",
        _xlfn.XLOOKUP($B$35, VODKA[[#All], [VODKAS]], VODKA[[#All], [PRECIO VODKAS]], ""),
        IF(_xlfn.XLOOKUP($B$35, WHISKY[[#All], [WHISKYS]], WHISKY[[#All], [PRECIO WHISKYS]], "")&lt;&gt;"",
            _xlfn.XLOOKUP($B$35, WHISKY[[#All], [WHISKYS]], WHISKY[[#All], [PRECIO WHISKYS]], ""),
            IF(_xlfn.XLOOKUP($B$35, GINEBRA[[#All], [GINEBRAS]], GINEBRA[[#All], [PRECIO GINEBRAS]], "")&lt;&gt;"",
                _xlfn.XLOOKUP($B$35, GINEBRA[[#All], [GINEBRAS]], GINEBRA[[#All], [PRECIO GINEBRAS]], ""),
                IF(_xlfn.XLOOKUP($B$35, TEQUILA[[#All], [TEQUILAS]], TEQUILA[[#All], [PRECIO TEQUILAS]], "")&lt;&gt;"",
                    _xlfn.XLOOKUP($B$35, TEQUILA[[#All], [TEQUILAS]], TEQUILA[[#All], [PRECIO TEQUILAS]], ""),
                    IF(_xlfn.XLOOKUP($B$35, LICOR[[#All], [LICORES]], LICOR[[#All], [PRECIO LICORES]], "")&lt;&gt;"",
                        _xlfn.XLOOKUP($B$35, LICOR[[#All], [LICORES]], LICOR[[#All], [PRECIO LICORES]], ""),
                        IF(_xlfn.XLOOKUP($B$35, VERMOUTH[[#All], [VERMOUTHS]], VERMOUTH[[#All], [PRECIO VERMOUTHS]], "")&lt;&gt;"",
                            _xlfn.XLOOKUP($B$35, VERMOUTH[[#All], [VERMOUTHS]], VERMOUTH[[#All], [PRECIO VERMOUTHS]], ""),
                            ""
                        )
                    )
                )
            )
        )
    )
)</f>
        <v/>
      </c>
      <c r="E35" s="49" t="str">
        <f>IF(OR($C$35="", $D$35=""), "", $C$35*$D$35)</f>
        <v/>
      </c>
      <c r="I35" s="27"/>
      <c r="K35" s="44"/>
      <c r="L35" s="46"/>
      <c r="N35" s="49" t="str" cm="1">
        <f t="array" ref="N35">IF(_xlfn.XLOOKUP($B$35, RON[[#All], [RONES]], RON[[#All], [PRECIO RONES]], "")&lt;&gt;"",
    _xlfn.XLOOKUP($B$35, RON[[#All], [RONES]], RON[[#All], [PRECIO RONES]], ""),
    IF(_xlfn.XLOOKUP($B$35, VODKA[[#All], [VODKAS]], VODKA[[#All], [PRECIO VODKAS]], "")&lt;&gt;"",
        _xlfn.XLOOKUP($B$35, VODKA[[#All], [VODKAS]], VODKA[[#All], [PRECIO VODKAS]], ""),
        IF(_xlfn.XLOOKUP($B$35, WHISKY[[#All], [WHISKYS]], WHISKY[[#All], [PRECIO WHISKYS]], "")&lt;&gt;"",
            _xlfn.XLOOKUP($B$35, WHISKY[[#All], [WHISKYS]], WHISKY[[#All], [PRECIO WHISKYS]], ""),
            IF(_xlfn.XLOOKUP($B$35, GINEBRA[[#All], [GINEBRAS]], GINEBRA[[#All], [PRECIO GINEBRAS]], "")&lt;&gt;"",
                _xlfn.XLOOKUP($B$35, GINEBRA[[#All], [GINEBRAS]], GINEBRA[[#All], [PRECIO GINEBRAS]], ""),
                IF(_xlfn.XLOOKUP($B$35, TEQUILA[[#All], [TEQUILAS]], TEQUILA[[#All], [PRECIO TEQUILAS]], "")&lt;&gt;"",
                    _xlfn.XLOOKUP($B$35, TEQUILA[[#All], [TEQUILAS]], TEQUILA[[#All], [PRECIO TEQUILAS]], ""),
                    IF(_xlfn.XLOOKUP($B$35, LICOR[[#All], [LICORES]], LICOR[[#All], [PRECIO LICORES]], "")&lt;&gt;"",
                        _xlfn.XLOOKUP($B$35, LICOR[[#All], [LICORES]], LICOR[[#All], [PRECIO LICORES]], ""),
                        IF(_xlfn.XLOOKUP($B$35, VERMOUTH[[#All], [VERMOUTHS]], VERMOUTH[[#All], [PRECIO VERMOUTHS]], "")&lt;&gt;"",
                            _xlfn.XLOOKUP($B$35, VERMOUTH[[#All], [VERMOUTHS]], VERMOUTH[[#All], [PRECIO VERMOUTHS]], ""),
                            ""
                        )
                    )
                )
            )
        )
    )
)</f>
        <v/>
      </c>
      <c r="O35" s="49" t="str">
        <f>IF(OR($C$35="", $D$35=""), "", $C$35*$D$35)</f>
        <v/>
      </c>
    </row>
    <row r="36" spans="3:15" x14ac:dyDescent="0.25">
      <c r="D36" s="49" t="str" cm="1">
        <f t="array" ref="D36">IF(_xlfn.XLOOKUP($B$36, RON[[#All], [RONES]], RON[[#All], [PRECIO RONES]], "")&lt;&gt;"",
    _xlfn.XLOOKUP($B$36, RON[[#All], [RONES]], RON[[#All], [PRECIO RONES]], ""),
    IF(_xlfn.XLOOKUP($B$36, VODKA[[#All], [VODKAS]], VODKA[[#All], [PRECIO VODKAS]], "")&lt;&gt;"",
        _xlfn.XLOOKUP($B$36, VODKA[[#All], [VODKAS]], VODKA[[#All], [PRECIO VODKAS]], ""),
        IF(_xlfn.XLOOKUP($B$36, WHISKY[[#All], [WHISKYS]], WHISKY[[#All], [PRECIO WHISKYS]], "")&lt;&gt;"",
            _xlfn.XLOOKUP($B$36, WHISKY[[#All], [WHISKYS]], WHISKY[[#All], [PRECIO WHISKYS]], ""),
            IF(_xlfn.XLOOKUP($B$36, GINEBRA[[#All], [GINEBRAS]], GINEBRA[[#All], [PRECIO GINEBRAS]], "")&lt;&gt;"",
                _xlfn.XLOOKUP($B$36, GINEBRA[[#All], [GINEBRAS]], GINEBRA[[#All], [PRECIO GINEBRAS]], ""),
                IF(_xlfn.XLOOKUP($B$36, TEQUILA[[#All], [TEQUILAS]], TEQUILA[[#All], [PRECIO TEQUILAS]], "")&lt;&gt;"",
                    _xlfn.XLOOKUP($B$36, TEQUILA[[#All], [TEQUILAS]], TEQUILA[[#All], [PRECIO TEQUILAS]], ""),
                    IF(_xlfn.XLOOKUP($B$36, LICOR[[#All], [LICORES]], LICOR[[#All], [PRECIO LICORES]], "")&lt;&gt;"",
                        _xlfn.XLOOKUP($B$36, LICOR[[#All], [LICORES]], LICOR[[#All], [PRECIO LICORES]], ""),
                        IF(_xlfn.XLOOKUP($B$36, VERMOUTH[[#All], [VERMOUTHS]], VERMOUTH[[#All], [PRECIO VERMOUTHS]], "")&lt;&gt;"",
                            _xlfn.XLOOKUP($B$36, VERMOUTH[[#All], [VERMOUTHS]], VERMOUTH[[#All], [PRECIO VERMOUTHS]], ""),
                            ""
                        )
                    )
                )
            )
        )
    )
)</f>
        <v/>
      </c>
      <c r="E36" s="49" t="str">
        <f>IF(OR($C$36="", $D$36=""), "", $C$36*$D$36)</f>
        <v/>
      </c>
      <c r="I36" s="27"/>
      <c r="K36" s="44"/>
      <c r="L36" s="46"/>
      <c r="N36" s="49" t="str" cm="1">
        <f t="array" ref="N36">IF(_xlfn.XLOOKUP($B$36, RON[[#All], [RONES]], RON[[#All], [PRECIO RONES]], "")&lt;&gt;"",
    _xlfn.XLOOKUP($B$36, RON[[#All], [RONES]], RON[[#All], [PRECIO RONES]], ""),
    IF(_xlfn.XLOOKUP($B$36, VODKA[[#All], [VODKAS]], VODKA[[#All], [PRECIO VODKAS]], "")&lt;&gt;"",
        _xlfn.XLOOKUP($B$36, VODKA[[#All], [VODKAS]], VODKA[[#All], [PRECIO VODKAS]], ""),
        IF(_xlfn.XLOOKUP($B$36, WHISKY[[#All], [WHISKYS]], WHISKY[[#All], [PRECIO WHISKYS]], "")&lt;&gt;"",
            _xlfn.XLOOKUP($B$36, WHISKY[[#All], [WHISKYS]], WHISKY[[#All], [PRECIO WHISKYS]], ""),
            IF(_xlfn.XLOOKUP($B$36, GINEBRA[[#All], [GINEBRAS]], GINEBRA[[#All], [PRECIO GINEBRAS]], "")&lt;&gt;"",
                _xlfn.XLOOKUP($B$36, GINEBRA[[#All], [GINEBRAS]], GINEBRA[[#All], [PRECIO GINEBRAS]], ""),
                IF(_xlfn.XLOOKUP($B$36, TEQUILA[[#All], [TEQUILAS]], TEQUILA[[#All], [PRECIO TEQUILAS]], "")&lt;&gt;"",
                    _xlfn.XLOOKUP($B$36, TEQUILA[[#All], [TEQUILAS]], TEQUILA[[#All], [PRECIO TEQUILAS]], ""),
                    IF(_xlfn.XLOOKUP($B$36, LICOR[[#All], [LICORES]], LICOR[[#All], [PRECIO LICORES]], "")&lt;&gt;"",
                        _xlfn.XLOOKUP($B$36, LICOR[[#All], [LICORES]], LICOR[[#All], [PRECIO LICORES]], ""),
                        IF(_xlfn.XLOOKUP($B$36, VERMOUTH[[#All], [VERMOUTHS]], VERMOUTH[[#All], [PRECIO VERMOUTHS]], "")&lt;&gt;"",
                            _xlfn.XLOOKUP($B$36, VERMOUTH[[#All], [VERMOUTHS]], VERMOUTH[[#All], [PRECIO VERMOUTHS]], ""),
                            ""
                        )
                    )
                )
            )
        )
    )
)</f>
        <v/>
      </c>
      <c r="O36" s="49" t="str">
        <f>IF(OR($C$36="", $D$36=""), "", $C$36*$D$36)</f>
        <v/>
      </c>
    </row>
    <row r="37" spans="3:15" x14ac:dyDescent="0.25">
      <c r="D37" s="49" t="str" cm="1">
        <f t="array" ref="D37">IF(_xlfn.XLOOKUP($B$37, RON[[#All], [RONES]], RON[[#All], [PRECIO RONES]], "")&lt;&gt;"",
    _xlfn.XLOOKUP($B$37, RON[[#All], [RONES]], RON[[#All], [PRECIO RONES]], ""),
    IF(_xlfn.XLOOKUP($B$37, VODKA[[#All], [VODKAS]], VODKA[[#All], [PRECIO VODKAS]], "")&lt;&gt;"",
        _xlfn.XLOOKUP($B$37, VODKA[[#All], [VODKAS]], VODKA[[#All], [PRECIO VODKAS]], ""),
        IF(_xlfn.XLOOKUP($B$37, WHISKY[[#All], [WHISKYS]], WHISKY[[#All], [PRECIO WHISKYS]], "")&lt;&gt;"",
            _xlfn.XLOOKUP($B$37, WHISKY[[#All], [WHISKYS]], WHISKY[[#All], [PRECIO WHISKYS]], ""),
            IF(_xlfn.XLOOKUP($B$37, GINEBRA[[#All], [GINEBRAS]], GINEBRA[[#All], [PRECIO GINEBRAS]], "")&lt;&gt;"",
                _xlfn.XLOOKUP($B$37, GINEBRA[[#All], [GINEBRAS]], GINEBRA[[#All], [PRECIO GINEBRAS]], ""),
                IF(_xlfn.XLOOKUP($B$37, TEQUILA[[#All], [TEQUILAS]], TEQUILA[[#All], [PRECIO TEQUILAS]], "")&lt;&gt;"",
                    _xlfn.XLOOKUP($B$37, TEQUILA[[#All], [TEQUILAS]], TEQUILA[[#All], [PRECIO TEQUILAS]], ""),
                    IF(_xlfn.XLOOKUP($B$37, LICOR[[#All], [LICORES]], LICOR[[#All], [PRECIO LICORES]], "")&lt;&gt;"",
                        _xlfn.XLOOKUP($B$37, LICOR[[#All], [LICORES]], LICOR[[#All], [PRECIO LICORES]], ""),
                        IF(_xlfn.XLOOKUP($B$37, VERMOUTH[[#All], [VERMOUTHS]], VERMOUTH[[#All], [PRECIO VERMOUTHS]], "")&lt;&gt;"",
                            _xlfn.XLOOKUP($B$37, VERMOUTH[[#All], [VERMOUTHS]], VERMOUTH[[#All], [PRECIO VERMOUTHS]], ""),
                            ""
                        )
                    )
                )
            )
        )
    )
)</f>
        <v/>
      </c>
      <c r="E37" s="49" t="str">
        <f>IF(OR($C$37="", $D$37=""), "", $C$37*$D$37)</f>
        <v/>
      </c>
      <c r="I37" s="27"/>
      <c r="K37" s="44"/>
      <c r="L37" s="46"/>
      <c r="N37" s="49" t="str" cm="1">
        <f t="array" ref="N37">IF(_xlfn.XLOOKUP($B$37, RON[[#All], [RONES]], RON[[#All], [PRECIO RONES]], "")&lt;&gt;"",
    _xlfn.XLOOKUP($B$37, RON[[#All], [RONES]], RON[[#All], [PRECIO RONES]], ""),
    IF(_xlfn.XLOOKUP($B$37, VODKA[[#All], [VODKAS]], VODKA[[#All], [PRECIO VODKAS]], "")&lt;&gt;"",
        _xlfn.XLOOKUP($B$37, VODKA[[#All], [VODKAS]], VODKA[[#All], [PRECIO VODKAS]], ""),
        IF(_xlfn.XLOOKUP($B$37, WHISKY[[#All], [WHISKYS]], WHISKY[[#All], [PRECIO WHISKYS]], "")&lt;&gt;"",
            _xlfn.XLOOKUP($B$37, WHISKY[[#All], [WHISKYS]], WHISKY[[#All], [PRECIO WHISKYS]], ""),
            IF(_xlfn.XLOOKUP($B$37, GINEBRA[[#All], [GINEBRAS]], GINEBRA[[#All], [PRECIO GINEBRAS]], "")&lt;&gt;"",
                _xlfn.XLOOKUP($B$37, GINEBRA[[#All], [GINEBRAS]], GINEBRA[[#All], [PRECIO GINEBRAS]], ""),
                IF(_xlfn.XLOOKUP($B$37, TEQUILA[[#All], [TEQUILAS]], TEQUILA[[#All], [PRECIO TEQUILAS]], "")&lt;&gt;"",
                    _xlfn.XLOOKUP($B$37, TEQUILA[[#All], [TEQUILAS]], TEQUILA[[#All], [PRECIO TEQUILAS]], ""),
                    IF(_xlfn.XLOOKUP($B$37, LICOR[[#All], [LICORES]], LICOR[[#All], [PRECIO LICORES]], "")&lt;&gt;"",
                        _xlfn.XLOOKUP($B$37, LICOR[[#All], [LICORES]], LICOR[[#All], [PRECIO LICORES]], ""),
                        IF(_xlfn.XLOOKUP($B$37, VERMOUTH[[#All], [VERMOUTHS]], VERMOUTH[[#All], [PRECIO VERMOUTHS]], "")&lt;&gt;"",
                            _xlfn.XLOOKUP($B$37, VERMOUTH[[#All], [VERMOUTHS]], VERMOUTH[[#All], [PRECIO VERMOUTHS]], ""),
                            ""
                        )
                    )
                )
            )
        )
    )
)</f>
        <v/>
      </c>
      <c r="O37" s="49" t="str">
        <f>IF(OR($C$37="", $D$37=""), "", $C$37*$D$37)</f>
        <v/>
      </c>
    </row>
    <row r="38" spans="3:15" x14ac:dyDescent="0.25">
      <c r="D38" s="49" t="str" cm="1">
        <f t="array" ref="D38">IF(_xlfn.XLOOKUP($B$38, RON[[#All], [RONES]], RON[[#All], [PRECIO RONES]], "")&lt;&gt;"",
    _xlfn.XLOOKUP($B$38, RON[[#All], [RONES]], RON[[#All], [PRECIO RONES]], ""),
    IF(_xlfn.XLOOKUP($B$38, VODKA[[#All], [VODKAS]], VODKA[[#All], [PRECIO VODKAS]], "")&lt;&gt;"",
        _xlfn.XLOOKUP($B$38, VODKA[[#All], [VODKAS]], VODKA[[#All], [PRECIO VODKAS]], ""),
        IF(_xlfn.XLOOKUP($B$38, WHISKY[[#All], [WHISKYS]], WHISKY[[#All], [PRECIO WHISKYS]], "")&lt;&gt;"",
            _xlfn.XLOOKUP($B$38, WHISKY[[#All], [WHISKYS]], WHISKY[[#All], [PRECIO WHISKYS]], ""),
            IF(_xlfn.XLOOKUP($B$38, GINEBRA[[#All], [GINEBRAS]], GINEBRA[[#All], [PRECIO GINEBRAS]], "")&lt;&gt;"",
                _xlfn.XLOOKUP($B$38, GINEBRA[[#All], [GINEBRAS]], GINEBRA[[#All], [PRECIO GINEBRAS]], ""),
                IF(_xlfn.XLOOKUP($B$38, TEQUILA[[#All], [TEQUILAS]], TEQUILA[[#All], [PRECIO TEQUILAS]], "")&lt;&gt;"",
                    _xlfn.XLOOKUP($B$38, TEQUILA[[#All], [TEQUILAS]], TEQUILA[[#All], [PRECIO TEQUILAS]], ""),
                    IF(_xlfn.XLOOKUP($B$38, LICOR[[#All], [LICORES]], LICOR[[#All], [PRECIO LICORES]], "")&lt;&gt;"",
                        _xlfn.XLOOKUP($B$38, LICOR[[#All], [LICORES]], LICOR[[#All], [PRECIO LICORES]], ""),
                        IF(_xlfn.XLOOKUP($B$38, VERMOUTH[[#All], [VERMOUTHS]], VERMOUTH[[#All], [PRECIO VERMOUTHS]], "")&lt;&gt;"",
                            _xlfn.XLOOKUP($B$38, VERMOUTH[[#All], [VERMOUTHS]], VERMOUTH[[#All], [PRECIO VERMOUTHS]], ""),
                            ""
                        )
                    )
                )
            )
        )
    )
)</f>
        <v/>
      </c>
      <c r="E38" s="49" t="str">
        <f>IF(OR($C$38="", $D$38=""), "", $C$38*$D$38)</f>
        <v/>
      </c>
      <c r="K38" s="44"/>
      <c r="L38" s="46"/>
      <c r="N38" s="49" t="str" cm="1">
        <f t="array" ref="N38">IF(_xlfn.XLOOKUP($B$38, RON[[#All], [RONES]], RON[[#All], [PRECIO RONES]], "")&lt;&gt;"",
    _xlfn.XLOOKUP($B$38, RON[[#All], [RONES]], RON[[#All], [PRECIO RONES]], ""),
    IF(_xlfn.XLOOKUP($B$38, VODKA[[#All], [VODKAS]], VODKA[[#All], [PRECIO VODKAS]], "")&lt;&gt;"",
        _xlfn.XLOOKUP($B$38, VODKA[[#All], [VODKAS]], VODKA[[#All], [PRECIO VODKAS]], ""),
        IF(_xlfn.XLOOKUP($B$38, WHISKY[[#All], [WHISKYS]], WHISKY[[#All], [PRECIO WHISKYS]], "")&lt;&gt;"",
            _xlfn.XLOOKUP($B$38, WHISKY[[#All], [WHISKYS]], WHISKY[[#All], [PRECIO WHISKYS]], ""),
            IF(_xlfn.XLOOKUP($B$38, GINEBRA[[#All], [GINEBRAS]], GINEBRA[[#All], [PRECIO GINEBRAS]], "")&lt;&gt;"",
                _xlfn.XLOOKUP($B$38, GINEBRA[[#All], [GINEBRAS]], GINEBRA[[#All], [PRECIO GINEBRAS]], ""),
                IF(_xlfn.XLOOKUP($B$38, TEQUILA[[#All], [TEQUILAS]], TEQUILA[[#All], [PRECIO TEQUILAS]], "")&lt;&gt;"",
                    _xlfn.XLOOKUP($B$38, TEQUILA[[#All], [TEQUILAS]], TEQUILA[[#All], [PRECIO TEQUILAS]], ""),
                    IF(_xlfn.XLOOKUP($B$38, LICOR[[#All], [LICORES]], LICOR[[#All], [PRECIO LICORES]], "")&lt;&gt;"",
                        _xlfn.XLOOKUP($B$38, LICOR[[#All], [LICORES]], LICOR[[#All], [PRECIO LICORES]], ""),
                        IF(_xlfn.XLOOKUP($B$38, VERMOUTH[[#All], [VERMOUTHS]], VERMOUTH[[#All], [PRECIO VERMOUTHS]], "")&lt;&gt;"",
                            _xlfn.XLOOKUP($B$38, VERMOUTH[[#All], [VERMOUTHS]], VERMOUTH[[#All], [PRECIO VERMOUTHS]], ""),
                            ""
                        )
                    )
                )
            )
        )
    )
)</f>
        <v/>
      </c>
      <c r="O38" s="49" t="str">
        <f>IF(OR($C$38="", $D$38=""), "", $C$38*$D$38)</f>
        <v/>
      </c>
    </row>
    <row r="39" spans="3:15" x14ac:dyDescent="0.25">
      <c r="D39" s="49" t="str" cm="1">
        <f t="array" ref="D39">IF(_xlfn.XLOOKUP($B$39, RON[[#All], [RONES]], RON[[#All], [PRECIO RONES]], "")&lt;&gt;"",
    _xlfn.XLOOKUP($B$39, RON[[#All], [RONES]], RON[[#All], [PRECIO RONES]], ""),
    IF(_xlfn.XLOOKUP($B$39, VODKA[[#All], [VODKAS]], VODKA[[#All], [PRECIO VODKAS]], "")&lt;&gt;"",
        _xlfn.XLOOKUP($B$39, VODKA[[#All], [VODKAS]], VODKA[[#All], [PRECIO VODKAS]], ""),
        IF(_xlfn.XLOOKUP($B$39, WHISKY[[#All], [WHISKYS]], WHISKY[[#All], [PRECIO WHISKYS]], "")&lt;&gt;"",
            _xlfn.XLOOKUP($B$39, WHISKY[[#All], [WHISKYS]], WHISKY[[#All], [PRECIO WHISKYS]], ""),
            IF(_xlfn.XLOOKUP($B$39, GINEBRA[[#All], [GINEBRAS]], GINEBRA[[#All], [PRECIO GINEBRAS]], "")&lt;&gt;"",
                _xlfn.XLOOKUP($B$39, GINEBRA[[#All], [GINEBRAS]], GINEBRA[[#All], [PRECIO GINEBRAS]], ""),
                IF(_xlfn.XLOOKUP($B$39, TEQUILA[[#All], [TEQUILAS]], TEQUILA[[#All], [PRECIO TEQUILAS]], "")&lt;&gt;"",
                    _xlfn.XLOOKUP($B$39, TEQUILA[[#All], [TEQUILAS]], TEQUILA[[#All], [PRECIO TEQUILAS]], ""),
                    IF(_xlfn.XLOOKUP($B$39, LICOR[[#All], [LICORES]], LICOR[[#All], [PRECIO LICORES]], "")&lt;&gt;"",
                        _xlfn.XLOOKUP($B$39, LICOR[[#All], [LICORES]], LICOR[[#All], [PRECIO LICORES]], ""),
                        IF(_xlfn.XLOOKUP($B$39, VERMOUTH[[#All], [VERMOUTHS]], VERMOUTH[[#All], [PRECIO VERMOUTHS]], "")&lt;&gt;"",
                            _xlfn.XLOOKUP($B$39, VERMOUTH[[#All], [VERMOUTHS]], VERMOUTH[[#All], [PRECIO VERMOUTHS]], ""),
                            ""
                        )
                    )
                )
            )
        )
    )
)</f>
        <v/>
      </c>
      <c r="E39" s="49" t="str">
        <f>IF(OR($C$39="", $D$39=""), "", $C$39*$D$39)</f>
        <v/>
      </c>
      <c r="K39" s="44"/>
      <c r="L39" s="46"/>
      <c r="N39" s="49" t="str" cm="1">
        <f t="array" ref="N39">IF(_xlfn.XLOOKUP($B$39, RON[[#All], [RONES]], RON[[#All], [PRECIO RONES]], "")&lt;&gt;"",
    _xlfn.XLOOKUP($B$39, RON[[#All], [RONES]], RON[[#All], [PRECIO RONES]], ""),
    IF(_xlfn.XLOOKUP($B$39, VODKA[[#All], [VODKAS]], VODKA[[#All], [PRECIO VODKAS]], "")&lt;&gt;"",
        _xlfn.XLOOKUP($B$39, VODKA[[#All], [VODKAS]], VODKA[[#All], [PRECIO VODKAS]], ""),
        IF(_xlfn.XLOOKUP($B$39, WHISKY[[#All], [WHISKYS]], WHISKY[[#All], [PRECIO WHISKYS]], "")&lt;&gt;"",
            _xlfn.XLOOKUP($B$39, WHISKY[[#All], [WHISKYS]], WHISKY[[#All], [PRECIO WHISKYS]], ""),
            IF(_xlfn.XLOOKUP($B$39, GINEBRA[[#All], [GINEBRAS]], GINEBRA[[#All], [PRECIO GINEBRAS]], "")&lt;&gt;"",
                _xlfn.XLOOKUP($B$39, GINEBRA[[#All], [GINEBRAS]], GINEBRA[[#All], [PRECIO GINEBRAS]], ""),
                IF(_xlfn.XLOOKUP($B$39, TEQUILA[[#All], [TEQUILAS]], TEQUILA[[#All], [PRECIO TEQUILAS]], "")&lt;&gt;"",
                    _xlfn.XLOOKUP($B$39, TEQUILA[[#All], [TEQUILAS]], TEQUILA[[#All], [PRECIO TEQUILAS]], ""),
                    IF(_xlfn.XLOOKUP($B$39, LICOR[[#All], [LICORES]], LICOR[[#All], [PRECIO LICORES]], "")&lt;&gt;"",
                        _xlfn.XLOOKUP($B$39, LICOR[[#All], [LICORES]], LICOR[[#All], [PRECIO LICORES]], ""),
                        IF(_xlfn.XLOOKUP($B$39, VERMOUTH[[#All], [VERMOUTHS]], VERMOUTH[[#All], [PRECIO VERMOUTHS]], "")&lt;&gt;"",
                            _xlfn.XLOOKUP($B$39, VERMOUTH[[#All], [VERMOUTHS]], VERMOUTH[[#All], [PRECIO VERMOUTHS]], ""),
                            ""
                        )
                    )
                )
            )
        )
    )
)</f>
        <v/>
      </c>
      <c r="O39" s="49" t="str">
        <f>IF(OR($C$39="", $D$39=""), "", $C$39*$D$39)</f>
        <v/>
      </c>
    </row>
    <row r="40" spans="3:15" x14ac:dyDescent="0.25">
      <c r="D40" s="49" t="str" cm="1">
        <f t="array" ref="D40">IF(_xlfn.XLOOKUP($B$40, RON[[#All], [RONES]], RON[[#All], [PRECIO RONES]], "")&lt;&gt;"",
    _xlfn.XLOOKUP($B$40, RON[[#All], [RONES]], RON[[#All], [PRECIO RONES]], ""),
    IF(_xlfn.XLOOKUP($B$40, VODKA[[#All], [VODKAS]], VODKA[[#All], [PRECIO VODKAS]], "")&lt;&gt;"",
        _xlfn.XLOOKUP($B$40, VODKA[[#All], [VODKAS]], VODKA[[#All], [PRECIO VODKAS]], ""),
        IF(_xlfn.XLOOKUP($B$40, WHISKY[[#All], [WHISKYS]], WHISKY[[#All], [PRECIO WHISKYS]], "")&lt;&gt;"",
            _xlfn.XLOOKUP($B$40, WHISKY[[#All], [WHISKYS]], WHISKY[[#All], [PRECIO WHISKYS]], ""),
            IF(_xlfn.XLOOKUP($B$40, GINEBRA[[#All], [GINEBRAS]], GINEBRA[[#All], [PRECIO GINEBRAS]], "")&lt;&gt;"",
                _xlfn.XLOOKUP($B$40, GINEBRA[[#All], [GINEBRAS]], GINEBRA[[#All], [PRECIO GINEBRAS]], ""),
                IF(_xlfn.XLOOKUP($B$40, TEQUILA[[#All], [TEQUILAS]], TEQUILA[[#All], [PRECIO TEQUILAS]], "")&lt;&gt;"",
                    _xlfn.XLOOKUP($B$40, TEQUILA[[#All], [TEQUILAS]], TEQUILA[[#All], [PRECIO TEQUILAS]], ""),
                    IF(_xlfn.XLOOKUP($B$40, LICOR[[#All], [LICORES]], LICOR[[#All], [PRECIO LICORES]], "")&lt;&gt;"",
                        _xlfn.XLOOKUP($B$40, LICOR[[#All], [LICORES]], LICOR[[#All], [PRECIO LICORES]], ""),
                        IF(_xlfn.XLOOKUP($B$40, VERMOUTH[[#All], [VERMOUTHS]], VERMOUTH[[#All], [PRECIO VERMOUTHS]], "")&lt;&gt;"",
                            _xlfn.XLOOKUP($B$40, VERMOUTH[[#All], [VERMOUTHS]], VERMOUTH[[#All], [PRECIO VERMOUTHS]], ""),
                            ""
                        )
                    )
                )
            )
        )
    )
)</f>
        <v/>
      </c>
      <c r="E40" s="49" t="str">
        <f>IF(OR($C$40="", $D$40=""), "", $C$40*$D$40)</f>
        <v/>
      </c>
      <c r="K40" s="44"/>
      <c r="L40" s="46"/>
      <c r="N40" s="49" t="str" cm="1">
        <f t="array" ref="N40">IF(_xlfn.XLOOKUP($B$40, RON[[#All], [RONES]], RON[[#All], [PRECIO RONES]], "")&lt;&gt;"",
    _xlfn.XLOOKUP($B$40, RON[[#All], [RONES]], RON[[#All], [PRECIO RONES]], ""),
    IF(_xlfn.XLOOKUP($B$40, VODKA[[#All], [VODKAS]], VODKA[[#All], [PRECIO VODKAS]], "")&lt;&gt;"",
        _xlfn.XLOOKUP($B$40, VODKA[[#All], [VODKAS]], VODKA[[#All], [PRECIO VODKAS]], ""),
        IF(_xlfn.XLOOKUP($B$40, WHISKY[[#All], [WHISKYS]], WHISKY[[#All], [PRECIO WHISKYS]], "")&lt;&gt;"",
            _xlfn.XLOOKUP($B$40, WHISKY[[#All], [WHISKYS]], WHISKY[[#All], [PRECIO WHISKYS]], ""),
            IF(_xlfn.XLOOKUP($B$40, GINEBRA[[#All], [GINEBRAS]], GINEBRA[[#All], [PRECIO GINEBRAS]], "")&lt;&gt;"",
                _xlfn.XLOOKUP($B$40, GINEBRA[[#All], [GINEBRAS]], GINEBRA[[#All], [PRECIO GINEBRAS]], ""),
                IF(_xlfn.XLOOKUP($B$40, TEQUILA[[#All], [TEQUILAS]], TEQUILA[[#All], [PRECIO TEQUILAS]], "")&lt;&gt;"",
                    _xlfn.XLOOKUP($B$40, TEQUILA[[#All], [TEQUILAS]], TEQUILA[[#All], [PRECIO TEQUILAS]], ""),
                    IF(_xlfn.XLOOKUP($B$40, LICOR[[#All], [LICORES]], LICOR[[#All], [PRECIO LICORES]], "")&lt;&gt;"",
                        _xlfn.XLOOKUP($B$40, LICOR[[#All], [LICORES]], LICOR[[#All], [PRECIO LICORES]], ""),
                        IF(_xlfn.XLOOKUP($B$40, VERMOUTH[[#All], [VERMOUTHS]], VERMOUTH[[#All], [PRECIO VERMOUTHS]], "")&lt;&gt;"",
                            _xlfn.XLOOKUP($B$40, VERMOUTH[[#All], [VERMOUTHS]], VERMOUTH[[#All], [PRECIO VERMOUTHS]], ""),
                            ""
                        )
                    )
                )
            )
        )
    )
)</f>
        <v/>
      </c>
      <c r="O40" s="49" t="str">
        <f>IF(OR($C$40="", $D$40=""), "", $C$40*$D$40)</f>
        <v/>
      </c>
    </row>
    <row r="41" spans="3:15" x14ac:dyDescent="0.25">
      <c r="D41" s="49" t="str" cm="1">
        <f t="array" ref="D41">IF(_xlfn.XLOOKUP($B$41, RON[[#All], [RONES]], RON[[#All], [PRECIO RONES]], "")&lt;&gt;"",
    _xlfn.XLOOKUP($B$41, RON[[#All], [RONES]], RON[[#All], [PRECIO RONES]], ""),
    IF(_xlfn.XLOOKUP($B$41, VODKA[[#All], [VODKAS]], VODKA[[#All], [PRECIO VODKAS]], "")&lt;&gt;"",
        _xlfn.XLOOKUP($B$41, VODKA[[#All], [VODKAS]], VODKA[[#All], [PRECIO VODKAS]], ""),
        IF(_xlfn.XLOOKUP($B$41, WHISKY[[#All], [WHISKYS]], WHISKY[[#All], [PRECIO WHISKYS]], "")&lt;&gt;"",
            _xlfn.XLOOKUP($B$41, WHISKY[[#All], [WHISKYS]], WHISKY[[#All], [PRECIO WHISKYS]], ""),
            IF(_xlfn.XLOOKUP($B$41, GINEBRA[[#All], [GINEBRAS]], GINEBRA[[#All], [PRECIO GINEBRAS]], "")&lt;&gt;"",
                _xlfn.XLOOKUP($B$41, GINEBRA[[#All], [GINEBRAS]], GINEBRA[[#All], [PRECIO GINEBRAS]], ""),
                IF(_xlfn.XLOOKUP($B$41, TEQUILA[[#All], [TEQUILAS]], TEQUILA[[#All], [PRECIO TEQUILAS]], "")&lt;&gt;"",
                    _xlfn.XLOOKUP($B$41, TEQUILA[[#All], [TEQUILAS]], TEQUILA[[#All], [PRECIO TEQUILAS]], ""),
                    IF(_xlfn.XLOOKUP($B$41, LICOR[[#All], [LICORES]], LICOR[[#All], [PRECIO LICORES]], "")&lt;&gt;"",
                        _xlfn.XLOOKUP($B$41, LICOR[[#All], [LICORES]], LICOR[[#All], [PRECIO LICORES]], ""),
                        IF(_xlfn.XLOOKUP($B$41, VERMOUTH[[#All], [VERMOUTHS]], VERMOUTH[[#All], [PRECIO VERMOUTHS]], "")&lt;&gt;"",
                            _xlfn.XLOOKUP($B$41, VERMOUTH[[#All], [VERMOUTHS]], VERMOUTH[[#All], [PRECIO VERMOUTHS]], ""),
                            ""
                        )
                    )
                )
            )
        )
    )
)</f>
        <v/>
      </c>
      <c r="E41" s="49" t="str">
        <f>IF(OR($C$41="", $D$41=""), "", $C$41*$D$41)</f>
        <v/>
      </c>
      <c r="K41" s="44"/>
      <c r="L41" s="46"/>
      <c r="N41" s="49" t="str" cm="1">
        <f t="array" ref="N41">IF(_xlfn.XLOOKUP($B$41, RON[[#All], [RONES]], RON[[#All], [PRECIO RONES]], "")&lt;&gt;"",
    _xlfn.XLOOKUP($B$41, RON[[#All], [RONES]], RON[[#All], [PRECIO RONES]], ""),
    IF(_xlfn.XLOOKUP($B$41, VODKA[[#All], [VODKAS]], VODKA[[#All], [PRECIO VODKAS]], "")&lt;&gt;"",
        _xlfn.XLOOKUP($B$41, VODKA[[#All], [VODKAS]], VODKA[[#All], [PRECIO VODKAS]], ""),
        IF(_xlfn.XLOOKUP($B$41, WHISKY[[#All], [WHISKYS]], WHISKY[[#All], [PRECIO WHISKYS]], "")&lt;&gt;"",
            _xlfn.XLOOKUP($B$41, WHISKY[[#All], [WHISKYS]], WHISKY[[#All], [PRECIO WHISKYS]], ""),
            IF(_xlfn.XLOOKUP($B$41, GINEBRA[[#All], [GINEBRAS]], GINEBRA[[#All], [PRECIO GINEBRAS]], "")&lt;&gt;"",
                _xlfn.XLOOKUP($B$41, GINEBRA[[#All], [GINEBRAS]], GINEBRA[[#All], [PRECIO GINEBRAS]], ""),
                IF(_xlfn.XLOOKUP($B$41, TEQUILA[[#All], [TEQUILAS]], TEQUILA[[#All], [PRECIO TEQUILAS]], "")&lt;&gt;"",
                    _xlfn.XLOOKUP($B$41, TEQUILA[[#All], [TEQUILAS]], TEQUILA[[#All], [PRECIO TEQUILAS]], ""),
                    IF(_xlfn.XLOOKUP($B$41, LICOR[[#All], [LICORES]], LICOR[[#All], [PRECIO LICORES]], "")&lt;&gt;"",
                        _xlfn.XLOOKUP($B$41, LICOR[[#All], [LICORES]], LICOR[[#All], [PRECIO LICORES]], ""),
                        IF(_xlfn.XLOOKUP($B$41, VERMOUTH[[#All], [VERMOUTHS]], VERMOUTH[[#All], [PRECIO VERMOUTHS]], "")&lt;&gt;"",
                            _xlfn.XLOOKUP($B$41, VERMOUTH[[#All], [VERMOUTHS]], VERMOUTH[[#All], [PRECIO VERMOUTHS]], ""),
                            ""
                        )
                    )
                )
            )
        )
    )
)</f>
        <v/>
      </c>
      <c r="O41" s="49" t="str">
        <f>IF(OR($C$41="", $D$41=""), "", $C$41*$D$41)</f>
        <v/>
      </c>
    </row>
    <row r="42" spans="3:15" x14ac:dyDescent="0.25">
      <c r="D42" s="49" t="str" cm="1">
        <f t="array" ref="D42">IF(_xlfn.XLOOKUP($B$42, RON[[#All], [RONES]], RON[[#All], [PRECIO RONES]], "")&lt;&gt;"",
    _xlfn.XLOOKUP($B$42, RON[[#All], [RONES]], RON[[#All], [PRECIO RONES]], ""),
    IF(_xlfn.XLOOKUP($B$42, VODKA[[#All], [VODKAS]], VODKA[[#All], [PRECIO VODKAS]], "")&lt;&gt;"",
        _xlfn.XLOOKUP($B$42, VODKA[[#All], [VODKAS]], VODKA[[#All], [PRECIO VODKAS]], ""),
        IF(_xlfn.XLOOKUP($B$42, WHISKY[[#All], [WHISKYS]], WHISKY[[#All], [PRECIO WHISKYS]], "")&lt;&gt;"",
            _xlfn.XLOOKUP($B$42, WHISKY[[#All], [WHISKYS]], WHISKY[[#All], [PRECIO WHISKYS]], ""),
            IF(_xlfn.XLOOKUP($B$42, GINEBRA[[#All], [GINEBRAS]], GINEBRA[[#All], [PRECIO GINEBRAS]], "")&lt;&gt;"",
                _xlfn.XLOOKUP($B$42, GINEBRA[[#All], [GINEBRAS]], GINEBRA[[#All], [PRECIO GINEBRAS]], ""),
                IF(_xlfn.XLOOKUP($B$42, TEQUILA[[#All], [TEQUILAS]], TEQUILA[[#All], [PRECIO TEQUILAS]], "")&lt;&gt;"",
                    _xlfn.XLOOKUP($B$42, TEQUILA[[#All], [TEQUILAS]], TEQUILA[[#All], [PRECIO TEQUILAS]], ""),
                    IF(_xlfn.XLOOKUP($B$42, LICOR[[#All], [LICORES]], LICOR[[#All], [PRECIO LICORES]], "")&lt;&gt;"",
                        _xlfn.XLOOKUP($B$42, LICOR[[#All], [LICORES]], LICOR[[#All], [PRECIO LICORES]], ""),
                        IF(_xlfn.XLOOKUP($B$42, VERMOUTH[[#All], [VERMOUTHS]], VERMOUTH[[#All], [PRECIO VERMOUTHS]], "")&lt;&gt;"",
                            _xlfn.XLOOKUP($B$42, VERMOUTH[[#All], [VERMOUTHS]], VERMOUTH[[#All], [PRECIO VERMOUTHS]], ""),
                            ""
                        )
                    )
                )
            )
        )
    )
)</f>
        <v/>
      </c>
      <c r="E42" s="49" t="str">
        <f>IF(OR($C$42="", $D$42=""), "", $C$42*$D$42)</f>
        <v/>
      </c>
      <c r="K42" s="44"/>
      <c r="L42" s="46"/>
      <c r="N42" s="49" t="str" cm="1">
        <f t="array" ref="N42">IF(_xlfn.XLOOKUP($B$42, RON[[#All], [RONES]], RON[[#All], [PRECIO RONES]], "")&lt;&gt;"",
    _xlfn.XLOOKUP($B$42, RON[[#All], [RONES]], RON[[#All], [PRECIO RONES]], ""),
    IF(_xlfn.XLOOKUP($B$42, VODKA[[#All], [VODKAS]], VODKA[[#All], [PRECIO VODKAS]], "")&lt;&gt;"",
        _xlfn.XLOOKUP($B$42, VODKA[[#All], [VODKAS]], VODKA[[#All], [PRECIO VODKAS]], ""),
        IF(_xlfn.XLOOKUP($B$42, WHISKY[[#All], [WHISKYS]], WHISKY[[#All], [PRECIO WHISKYS]], "")&lt;&gt;"",
            _xlfn.XLOOKUP($B$42, WHISKY[[#All], [WHISKYS]], WHISKY[[#All], [PRECIO WHISKYS]], ""),
            IF(_xlfn.XLOOKUP($B$42, GINEBRA[[#All], [GINEBRAS]], GINEBRA[[#All], [PRECIO GINEBRAS]], "")&lt;&gt;"",
                _xlfn.XLOOKUP($B$42, GINEBRA[[#All], [GINEBRAS]], GINEBRA[[#All], [PRECIO GINEBRAS]], ""),
                IF(_xlfn.XLOOKUP($B$42, TEQUILA[[#All], [TEQUILAS]], TEQUILA[[#All], [PRECIO TEQUILAS]], "")&lt;&gt;"",
                    _xlfn.XLOOKUP($B$42, TEQUILA[[#All], [TEQUILAS]], TEQUILA[[#All], [PRECIO TEQUILAS]], ""),
                    IF(_xlfn.XLOOKUP($B$42, LICOR[[#All], [LICORES]], LICOR[[#All], [PRECIO LICORES]], "")&lt;&gt;"",
                        _xlfn.XLOOKUP($B$42, LICOR[[#All], [LICORES]], LICOR[[#All], [PRECIO LICORES]], ""),
                        IF(_xlfn.XLOOKUP($B$42, VERMOUTH[[#All], [VERMOUTHS]], VERMOUTH[[#All], [PRECIO VERMOUTHS]], "")&lt;&gt;"",
                            _xlfn.XLOOKUP($B$42, VERMOUTH[[#All], [VERMOUTHS]], VERMOUTH[[#All], [PRECIO VERMOUTHS]], ""),
                            ""
                        )
                    )
                )
            )
        )
    )
)</f>
        <v/>
      </c>
      <c r="O42" s="49" t="str">
        <f>IF(OR($C$42="", $D$42=""), "", $C$42*$D$42)</f>
        <v/>
      </c>
    </row>
    <row r="43" spans="3:15" x14ac:dyDescent="0.25">
      <c r="D43" s="49" t="str" cm="1">
        <f t="array" ref="D43">IF(_xlfn.XLOOKUP($B$43, RON[[#All], [RONES]], RON[[#All], [PRECIO RONES]], "")&lt;&gt;"",
    _xlfn.XLOOKUP($B$43, RON[[#All], [RONES]], RON[[#All], [PRECIO RONES]], ""),
    IF(_xlfn.XLOOKUP($B$43, VODKA[[#All], [VODKAS]], VODKA[[#All], [PRECIO VODKAS]], "")&lt;&gt;"",
        _xlfn.XLOOKUP($B$43, VODKA[[#All], [VODKAS]], VODKA[[#All], [PRECIO VODKAS]], ""),
        IF(_xlfn.XLOOKUP($B$43, WHISKY[[#All], [WHISKYS]], WHISKY[[#All], [PRECIO WHISKYS]], "")&lt;&gt;"",
            _xlfn.XLOOKUP($B$43, WHISKY[[#All], [WHISKYS]], WHISKY[[#All], [PRECIO WHISKYS]], ""),
            IF(_xlfn.XLOOKUP($B$43, GINEBRA[[#All], [GINEBRAS]], GINEBRA[[#All], [PRECIO GINEBRAS]], "")&lt;&gt;"",
                _xlfn.XLOOKUP($B$43, GINEBRA[[#All], [GINEBRAS]], GINEBRA[[#All], [PRECIO GINEBRAS]], ""),
                IF(_xlfn.XLOOKUP($B$43, TEQUILA[[#All], [TEQUILAS]], TEQUILA[[#All], [PRECIO TEQUILAS]], "")&lt;&gt;"",
                    _xlfn.XLOOKUP($B$43, TEQUILA[[#All], [TEQUILAS]], TEQUILA[[#All], [PRECIO TEQUILAS]], ""),
                    IF(_xlfn.XLOOKUP($B$43, LICOR[[#All], [LICORES]], LICOR[[#All], [PRECIO LICORES]], "")&lt;&gt;"",
                        _xlfn.XLOOKUP($B$43, LICOR[[#All], [LICORES]], LICOR[[#All], [PRECIO LICORES]], ""),
                        IF(_xlfn.XLOOKUP($B$43, VERMOUTH[[#All], [VERMOUTHS]], VERMOUTH[[#All], [PRECIO VERMOUTHS]], "")&lt;&gt;"",
                            _xlfn.XLOOKUP($B$43, VERMOUTH[[#All], [VERMOUTHS]], VERMOUTH[[#All], [PRECIO VERMOUTHS]], ""),
                            ""
                        )
                    )
                )
            )
        )
    )
)</f>
        <v/>
      </c>
      <c r="E43" s="49" t="str">
        <f>IF(OR($C$43="", $D$43=""), "", $C$43*$D$43)</f>
        <v/>
      </c>
      <c r="K43" s="44"/>
      <c r="L43" s="46"/>
      <c r="N43" s="49" t="str" cm="1">
        <f t="array" ref="N43">IF(_xlfn.XLOOKUP($B$43, RON[[#All], [RONES]], RON[[#All], [PRECIO RONES]], "")&lt;&gt;"",
    _xlfn.XLOOKUP($B$43, RON[[#All], [RONES]], RON[[#All], [PRECIO RONES]], ""),
    IF(_xlfn.XLOOKUP($B$43, VODKA[[#All], [VODKAS]], VODKA[[#All], [PRECIO VODKAS]], "")&lt;&gt;"",
        _xlfn.XLOOKUP($B$43, VODKA[[#All], [VODKAS]], VODKA[[#All], [PRECIO VODKAS]], ""),
        IF(_xlfn.XLOOKUP($B$43, WHISKY[[#All], [WHISKYS]], WHISKY[[#All], [PRECIO WHISKYS]], "")&lt;&gt;"",
            _xlfn.XLOOKUP($B$43, WHISKY[[#All], [WHISKYS]], WHISKY[[#All], [PRECIO WHISKYS]], ""),
            IF(_xlfn.XLOOKUP($B$43, GINEBRA[[#All], [GINEBRAS]], GINEBRA[[#All], [PRECIO GINEBRAS]], "")&lt;&gt;"",
                _xlfn.XLOOKUP($B$43, GINEBRA[[#All], [GINEBRAS]], GINEBRA[[#All], [PRECIO GINEBRAS]], ""),
                IF(_xlfn.XLOOKUP($B$43, TEQUILA[[#All], [TEQUILAS]], TEQUILA[[#All], [PRECIO TEQUILAS]], "")&lt;&gt;"",
                    _xlfn.XLOOKUP($B$43, TEQUILA[[#All], [TEQUILAS]], TEQUILA[[#All], [PRECIO TEQUILAS]], ""),
                    IF(_xlfn.XLOOKUP($B$43, LICOR[[#All], [LICORES]], LICOR[[#All], [PRECIO LICORES]], "")&lt;&gt;"",
                        _xlfn.XLOOKUP($B$43, LICOR[[#All], [LICORES]], LICOR[[#All], [PRECIO LICORES]], ""),
                        IF(_xlfn.XLOOKUP($B$43, VERMOUTH[[#All], [VERMOUTHS]], VERMOUTH[[#All], [PRECIO VERMOUTHS]], "")&lt;&gt;"",
                            _xlfn.XLOOKUP($B$43, VERMOUTH[[#All], [VERMOUTHS]], VERMOUTH[[#All], [PRECIO VERMOUTHS]], ""),
                            ""
                        )
                    )
                )
            )
        )
    )
)</f>
        <v/>
      </c>
      <c r="O43" s="49" t="str">
        <f>IF(OR($C$43="", $D$43=""), "", $C$43*$D$43)</f>
        <v/>
      </c>
    </row>
    <row r="44" spans="3:15" x14ac:dyDescent="0.25">
      <c r="C44" s="19"/>
      <c r="D44" s="49" t="str" cm="1">
        <f t="array" ref="D44">IF(_xlfn.XLOOKUP($B$44, RON[[#All], [RONES]], RON[[#All], [PRECIO RONES]], "")&lt;&gt;"",
    _xlfn.XLOOKUP($B$44, RON[[#All], [RONES]], RON[[#All], [PRECIO RONES]], ""),
    IF(_xlfn.XLOOKUP($B$44, VODKA[[#All], [VODKAS]], VODKA[[#All], [PRECIO VODKAS]], "")&lt;&gt;"",
        _xlfn.XLOOKUP($B$44, VODKA[[#All], [VODKAS]], VODKA[[#All], [PRECIO VODKAS]], ""),
        IF(_xlfn.XLOOKUP($B$44, WHISKY[[#All], [WHISKYS]], WHISKY[[#All], [PRECIO WHISKYS]], "")&lt;&gt;"",
            _xlfn.XLOOKUP($B$44, WHISKY[[#All], [WHISKYS]], WHISKY[[#All], [PRECIO WHISKYS]], ""),
            IF(_xlfn.XLOOKUP($B$44, GINEBRA[[#All], [GINEBRAS]], GINEBRA[[#All], [PRECIO GINEBRAS]], "")&lt;&gt;"",
                _xlfn.XLOOKUP($B$44, GINEBRA[[#All], [GINEBRAS]], GINEBRA[[#All], [PRECIO GINEBRAS]], ""),
                IF(_xlfn.XLOOKUP($B$44, TEQUILA[[#All], [TEQUILAS]], TEQUILA[[#All], [PRECIO TEQUILAS]], "")&lt;&gt;"",
                    _xlfn.XLOOKUP($B$44, TEQUILA[[#All], [TEQUILAS]], TEQUILA[[#All], [PRECIO TEQUILAS]], ""),
                    IF(_xlfn.XLOOKUP($B$44, LICOR[[#All], [LICORES]], LICOR[[#All], [PRECIO LICORES]], "")&lt;&gt;"",
                        _xlfn.XLOOKUP($B$44, LICOR[[#All], [LICORES]], LICOR[[#All], [PRECIO LICORES]], ""),
                        IF(_xlfn.XLOOKUP($B$44, VERMOUTH[[#All], [VERMOUTHS]], VERMOUTH[[#All], [PRECIO VERMOUTHS]], "")&lt;&gt;"",
                            _xlfn.XLOOKUP($B$44, VERMOUTH[[#All], [VERMOUTHS]], VERMOUTH[[#All], [PRECIO VERMOUTHS]], ""),
                            ""
                        )
                    )
                )
            )
        )
    )
)</f>
        <v/>
      </c>
      <c r="E44" s="49" t="str">
        <f>IF(OR($C$44="", $D$44=""), "", $C$44*$D$44)</f>
        <v/>
      </c>
      <c r="K44" s="44"/>
      <c r="L44" s="46"/>
      <c r="N44" s="49" t="str" cm="1">
        <f t="array" ref="N44">IF(_xlfn.XLOOKUP($B$44, RON[[#All], [RONES]], RON[[#All], [PRECIO RONES]], "")&lt;&gt;"",
    _xlfn.XLOOKUP($B$44, RON[[#All], [RONES]], RON[[#All], [PRECIO RONES]], ""),
    IF(_xlfn.XLOOKUP($B$44, VODKA[[#All], [VODKAS]], VODKA[[#All], [PRECIO VODKAS]], "")&lt;&gt;"",
        _xlfn.XLOOKUP($B$44, VODKA[[#All], [VODKAS]], VODKA[[#All], [PRECIO VODKAS]], ""),
        IF(_xlfn.XLOOKUP($B$44, WHISKY[[#All], [WHISKYS]], WHISKY[[#All], [PRECIO WHISKYS]], "")&lt;&gt;"",
            _xlfn.XLOOKUP($B$44, WHISKY[[#All], [WHISKYS]], WHISKY[[#All], [PRECIO WHISKYS]], ""),
            IF(_xlfn.XLOOKUP($B$44, GINEBRA[[#All], [GINEBRAS]], GINEBRA[[#All], [PRECIO GINEBRAS]], "")&lt;&gt;"",
                _xlfn.XLOOKUP($B$44, GINEBRA[[#All], [GINEBRAS]], GINEBRA[[#All], [PRECIO GINEBRAS]], ""),
                IF(_xlfn.XLOOKUP($B$44, TEQUILA[[#All], [TEQUILAS]], TEQUILA[[#All], [PRECIO TEQUILAS]], "")&lt;&gt;"",
                    _xlfn.XLOOKUP($B$44, TEQUILA[[#All], [TEQUILAS]], TEQUILA[[#All], [PRECIO TEQUILAS]], ""),
                    IF(_xlfn.XLOOKUP($B$44, LICOR[[#All], [LICORES]], LICOR[[#All], [PRECIO LICORES]], "")&lt;&gt;"",
                        _xlfn.XLOOKUP($B$44, LICOR[[#All], [LICORES]], LICOR[[#All], [PRECIO LICORES]], ""),
                        IF(_xlfn.XLOOKUP($B$44, VERMOUTH[[#All], [VERMOUTHS]], VERMOUTH[[#All], [PRECIO VERMOUTHS]], "")&lt;&gt;"",
                            _xlfn.XLOOKUP($B$44, VERMOUTH[[#All], [VERMOUTHS]], VERMOUTH[[#All], [PRECIO VERMOUTHS]], ""),
                            ""
                        )
                    )
                )
            )
        )
    )
)</f>
        <v/>
      </c>
      <c r="O44" s="49" t="str">
        <f>IF(OR($C$44="", $D$44=""), "", $C$44*$D$44)</f>
        <v/>
      </c>
    </row>
    <row r="45" spans="3:15" x14ac:dyDescent="0.25">
      <c r="C45" s="19"/>
      <c r="D45" s="49" t="str" cm="1">
        <f t="array" ref="D45">IF(_xlfn.XLOOKUP($B$45, RON[[#All], [RONES]], RON[[#All], [PRECIO RONES]], "")&lt;&gt;"",
    _xlfn.XLOOKUP($B$45, RON[[#All], [RONES]], RON[[#All], [PRECIO RONES]], ""),
    IF(_xlfn.XLOOKUP($B$45, VODKA[[#All], [VODKAS]], VODKA[[#All], [PRECIO VODKAS]], "")&lt;&gt;"",
        _xlfn.XLOOKUP($B$45, VODKA[[#All], [VODKAS]], VODKA[[#All], [PRECIO VODKAS]], ""),
        IF(_xlfn.XLOOKUP($B$45, WHISKY[[#All], [WHISKYS]], WHISKY[[#All], [PRECIO WHISKYS]], "")&lt;&gt;"",
            _xlfn.XLOOKUP($B$45, WHISKY[[#All], [WHISKYS]], WHISKY[[#All], [PRECIO WHISKYS]], ""),
            IF(_xlfn.XLOOKUP($B$45, GINEBRA[[#All], [GINEBRAS]], GINEBRA[[#All], [PRECIO GINEBRAS]], "")&lt;&gt;"",
                _xlfn.XLOOKUP($B$45, GINEBRA[[#All], [GINEBRAS]], GINEBRA[[#All], [PRECIO GINEBRAS]], ""),
                IF(_xlfn.XLOOKUP($B$45, TEQUILA[[#All], [TEQUILAS]], TEQUILA[[#All], [PRECIO TEQUILAS]], "")&lt;&gt;"",
                    _xlfn.XLOOKUP($B$45, TEQUILA[[#All], [TEQUILAS]], TEQUILA[[#All], [PRECIO TEQUILAS]], ""),
                    IF(_xlfn.XLOOKUP($B$45, LICOR[[#All], [LICORES]], LICOR[[#All], [PRECIO LICORES]], "")&lt;&gt;"",
                        _xlfn.XLOOKUP($B$45, LICOR[[#All], [LICORES]], LICOR[[#All], [PRECIO LICORES]], ""),
                        IF(_xlfn.XLOOKUP($B$45, VERMOUTH[[#All], [VERMOUTHS]], VERMOUTH[[#All], [PRECIO VERMOUTHS]], "")&lt;&gt;"",
                            _xlfn.XLOOKUP($B$45, VERMOUTH[[#All], [VERMOUTHS]], VERMOUTH[[#All], [PRECIO VERMOUTHS]], ""),
                            ""
                        )
                    )
                )
            )
        )
    )
)</f>
        <v/>
      </c>
      <c r="E45" s="49" t="str">
        <f>IF(OR($C$45="", $D$45=""), "", $C$45*$D$45)</f>
        <v/>
      </c>
      <c r="K45" s="44"/>
      <c r="L45" s="46"/>
      <c r="N45" s="49" t="str" cm="1">
        <f t="array" ref="N45">IF(_xlfn.XLOOKUP($B$45, RON[[#All], [RONES]], RON[[#All], [PRECIO RONES]], "")&lt;&gt;"",
    _xlfn.XLOOKUP($B$45, RON[[#All], [RONES]], RON[[#All], [PRECIO RONES]], ""),
    IF(_xlfn.XLOOKUP($B$45, VODKA[[#All], [VODKAS]], VODKA[[#All], [PRECIO VODKAS]], "")&lt;&gt;"",
        _xlfn.XLOOKUP($B$45, VODKA[[#All], [VODKAS]], VODKA[[#All], [PRECIO VODKAS]], ""),
        IF(_xlfn.XLOOKUP($B$45, WHISKY[[#All], [WHISKYS]], WHISKY[[#All], [PRECIO WHISKYS]], "")&lt;&gt;"",
            _xlfn.XLOOKUP($B$45, WHISKY[[#All], [WHISKYS]], WHISKY[[#All], [PRECIO WHISKYS]], ""),
            IF(_xlfn.XLOOKUP($B$45, GINEBRA[[#All], [GINEBRAS]], GINEBRA[[#All], [PRECIO GINEBRAS]], "")&lt;&gt;"",
                _xlfn.XLOOKUP($B$45, GINEBRA[[#All], [GINEBRAS]], GINEBRA[[#All], [PRECIO GINEBRAS]], ""),
                IF(_xlfn.XLOOKUP($B$45, TEQUILA[[#All], [TEQUILAS]], TEQUILA[[#All], [PRECIO TEQUILAS]], "")&lt;&gt;"",
                    _xlfn.XLOOKUP($B$45, TEQUILA[[#All], [TEQUILAS]], TEQUILA[[#All], [PRECIO TEQUILAS]], ""),
                    IF(_xlfn.XLOOKUP($B$45, LICOR[[#All], [LICORES]], LICOR[[#All], [PRECIO LICORES]], "")&lt;&gt;"",
                        _xlfn.XLOOKUP($B$45, LICOR[[#All], [LICORES]], LICOR[[#All], [PRECIO LICORES]], ""),
                        IF(_xlfn.XLOOKUP($B$45, VERMOUTH[[#All], [VERMOUTHS]], VERMOUTH[[#All], [PRECIO VERMOUTHS]], "")&lt;&gt;"",
                            _xlfn.XLOOKUP($B$45, VERMOUTH[[#All], [VERMOUTHS]], VERMOUTH[[#All], [PRECIO VERMOUTHS]], ""),
                            ""
                        )
                    )
                )
            )
        )
    )
)</f>
        <v/>
      </c>
      <c r="O45" s="49" t="str">
        <f>IF(OR($C$45="", $D$45=""), "", $C$45*$D$45)</f>
        <v/>
      </c>
    </row>
    <row r="46" spans="3:15" x14ac:dyDescent="0.25">
      <c r="C46" s="19"/>
      <c r="D46" s="49" t="str" cm="1">
        <f t="array" ref="D46">IF(_xlfn.XLOOKUP($B$46, RON[[#All], [RONES]], RON[[#All], [PRECIO RONES]], "")&lt;&gt;"",
    _xlfn.XLOOKUP($B$46, RON[[#All], [RONES]], RON[[#All], [PRECIO RONES]], ""),
    IF(_xlfn.XLOOKUP($B$46, VODKA[[#All], [VODKAS]], VODKA[[#All], [PRECIO VODKAS]], "")&lt;&gt;"",
        _xlfn.XLOOKUP($B$46, VODKA[[#All], [VODKAS]], VODKA[[#All], [PRECIO VODKAS]], ""),
        IF(_xlfn.XLOOKUP($B$46, WHISKY[[#All], [WHISKYS]], WHISKY[[#All], [PRECIO WHISKYS]], "")&lt;&gt;"",
            _xlfn.XLOOKUP($B$46, WHISKY[[#All], [WHISKYS]], WHISKY[[#All], [PRECIO WHISKYS]], ""),
            IF(_xlfn.XLOOKUP($B$46, GINEBRA[[#All], [GINEBRAS]], GINEBRA[[#All], [PRECIO GINEBRAS]], "")&lt;&gt;"",
                _xlfn.XLOOKUP($B$46, GINEBRA[[#All], [GINEBRAS]], GINEBRA[[#All], [PRECIO GINEBRAS]], ""),
                IF(_xlfn.XLOOKUP($B$46, TEQUILA[[#All], [TEQUILAS]], TEQUILA[[#All], [PRECIO TEQUILAS]], "")&lt;&gt;"",
                    _xlfn.XLOOKUP($B$46, TEQUILA[[#All], [TEQUILAS]], TEQUILA[[#All], [PRECIO TEQUILAS]], ""),
                    IF(_xlfn.XLOOKUP($B$46, LICOR[[#All], [LICORES]], LICOR[[#All], [PRECIO LICORES]], "")&lt;&gt;"",
                        _xlfn.XLOOKUP($B$46, LICOR[[#All], [LICORES]], LICOR[[#All], [PRECIO LICORES]], ""),
                        IF(_xlfn.XLOOKUP($B$46, VERMOUTH[[#All], [VERMOUTHS]], VERMOUTH[[#All], [PRECIO VERMOUTHS]], "")&lt;&gt;"",
                            _xlfn.XLOOKUP($B$46, VERMOUTH[[#All], [VERMOUTHS]], VERMOUTH[[#All], [PRECIO VERMOUTHS]], ""),
                            ""
                        )
                    )
                )
            )
        )
    )
)</f>
        <v/>
      </c>
      <c r="E46" s="49" t="str">
        <f>IF(OR($C$46="", $D$46=""), "", $C$46*$D$46)</f>
        <v/>
      </c>
      <c r="K46" s="44"/>
      <c r="L46" s="46"/>
      <c r="N46" s="49" t="str" cm="1">
        <f t="array" ref="N46">IF(_xlfn.XLOOKUP($B$46, RON[[#All], [RONES]], RON[[#All], [PRECIO RONES]], "")&lt;&gt;"",
    _xlfn.XLOOKUP($B$46, RON[[#All], [RONES]], RON[[#All], [PRECIO RONES]], ""),
    IF(_xlfn.XLOOKUP($B$46, VODKA[[#All], [VODKAS]], VODKA[[#All], [PRECIO VODKAS]], "")&lt;&gt;"",
        _xlfn.XLOOKUP($B$46, VODKA[[#All], [VODKAS]], VODKA[[#All], [PRECIO VODKAS]], ""),
        IF(_xlfn.XLOOKUP($B$46, WHISKY[[#All], [WHISKYS]], WHISKY[[#All], [PRECIO WHISKYS]], "")&lt;&gt;"",
            _xlfn.XLOOKUP($B$46, WHISKY[[#All], [WHISKYS]], WHISKY[[#All], [PRECIO WHISKYS]], ""),
            IF(_xlfn.XLOOKUP($B$46, GINEBRA[[#All], [GINEBRAS]], GINEBRA[[#All], [PRECIO GINEBRAS]], "")&lt;&gt;"",
                _xlfn.XLOOKUP($B$46, GINEBRA[[#All], [GINEBRAS]], GINEBRA[[#All], [PRECIO GINEBRAS]], ""),
                IF(_xlfn.XLOOKUP($B$46, TEQUILA[[#All], [TEQUILAS]], TEQUILA[[#All], [PRECIO TEQUILAS]], "")&lt;&gt;"",
                    _xlfn.XLOOKUP($B$46, TEQUILA[[#All], [TEQUILAS]], TEQUILA[[#All], [PRECIO TEQUILAS]], ""),
                    IF(_xlfn.XLOOKUP($B$46, LICOR[[#All], [LICORES]], LICOR[[#All], [PRECIO LICORES]], "")&lt;&gt;"",
                        _xlfn.XLOOKUP($B$46, LICOR[[#All], [LICORES]], LICOR[[#All], [PRECIO LICORES]], ""),
                        IF(_xlfn.XLOOKUP($B$46, VERMOUTH[[#All], [VERMOUTHS]], VERMOUTH[[#All], [PRECIO VERMOUTHS]], "")&lt;&gt;"",
                            _xlfn.XLOOKUP($B$46, VERMOUTH[[#All], [VERMOUTHS]], VERMOUTH[[#All], [PRECIO VERMOUTHS]], ""),
                            ""
                        )
                    )
                )
            )
        )
    )
)</f>
        <v/>
      </c>
      <c r="O46" s="49" t="str">
        <f>IF(OR($C$46="", $D$46=""), "", $C$46*$D$46)</f>
        <v/>
      </c>
    </row>
    <row r="47" spans="3:15" x14ac:dyDescent="0.25">
      <c r="C47" s="19"/>
      <c r="D47" s="49" t="str" cm="1">
        <f t="array" ref="D47">IF(_xlfn.XLOOKUP($B$47, RON[[#All], [RONES]], RON[[#All], [PRECIO RONES]], "")&lt;&gt;"",
    _xlfn.XLOOKUP($B$47, RON[[#All], [RONES]], RON[[#All], [PRECIO RONES]], ""),
    IF(_xlfn.XLOOKUP($B$47, VODKA[[#All], [VODKAS]], VODKA[[#All], [PRECIO VODKAS]], "")&lt;&gt;"",
        _xlfn.XLOOKUP($B$47, VODKA[[#All], [VODKAS]], VODKA[[#All], [PRECIO VODKAS]], ""),
        IF(_xlfn.XLOOKUP($B$47, WHISKY[[#All], [WHISKYS]], WHISKY[[#All], [PRECIO WHISKYS]], "")&lt;&gt;"",
            _xlfn.XLOOKUP($B$47, WHISKY[[#All], [WHISKYS]], WHISKY[[#All], [PRECIO WHISKYS]], ""),
            IF(_xlfn.XLOOKUP($B$47, GINEBRA[[#All], [GINEBRAS]], GINEBRA[[#All], [PRECIO GINEBRAS]], "")&lt;&gt;"",
                _xlfn.XLOOKUP($B$47, GINEBRA[[#All], [GINEBRAS]], GINEBRA[[#All], [PRECIO GINEBRAS]], ""),
                IF(_xlfn.XLOOKUP($B$47, TEQUILA[[#All], [TEQUILAS]], TEQUILA[[#All], [PRECIO TEQUILAS]], "")&lt;&gt;"",
                    _xlfn.XLOOKUP($B$47, TEQUILA[[#All], [TEQUILAS]], TEQUILA[[#All], [PRECIO TEQUILAS]], ""),
                    IF(_xlfn.XLOOKUP($B$47, LICOR[[#All], [LICORES]], LICOR[[#All], [PRECIO LICORES]], "")&lt;&gt;"",
                        _xlfn.XLOOKUP($B$47, LICOR[[#All], [LICORES]], LICOR[[#All], [PRECIO LICORES]], ""),
                        IF(_xlfn.XLOOKUP($B$47, VERMOUTH[[#All], [VERMOUTHS]], VERMOUTH[[#All], [PRECIO VERMOUTHS]], "")&lt;&gt;"",
                            _xlfn.XLOOKUP($B$47, VERMOUTH[[#All], [VERMOUTHS]], VERMOUTH[[#All], [PRECIO VERMOUTHS]], ""),
                            ""
                        )
                    )
                )
            )
        )
    )
)</f>
        <v/>
      </c>
      <c r="E47" s="49" t="str">
        <f>IF(OR($C$47="", $D$47=""), "", $C$47*$D$47)</f>
        <v/>
      </c>
      <c r="K47" s="44"/>
      <c r="L47" s="46"/>
      <c r="N47" s="49" t="str" cm="1">
        <f t="array" ref="N47">IF(_xlfn.XLOOKUP($B$47, RON[[#All], [RONES]], RON[[#All], [PRECIO RONES]], "")&lt;&gt;"",
    _xlfn.XLOOKUP($B$47, RON[[#All], [RONES]], RON[[#All], [PRECIO RONES]], ""),
    IF(_xlfn.XLOOKUP($B$47, VODKA[[#All], [VODKAS]], VODKA[[#All], [PRECIO VODKAS]], "")&lt;&gt;"",
        _xlfn.XLOOKUP($B$47, VODKA[[#All], [VODKAS]], VODKA[[#All], [PRECIO VODKAS]], ""),
        IF(_xlfn.XLOOKUP($B$47, WHISKY[[#All], [WHISKYS]], WHISKY[[#All], [PRECIO WHISKYS]], "")&lt;&gt;"",
            _xlfn.XLOOKUP($B$47, WHISKY[[#All], [WHISKYS]], WHISKY[[#All], [PRECIO WHISKYS]], ""),
            IF(_xlfn.XLOOKUP($B$47, GINEBRA[[#All], [GINEBRAS]], GINEBRA[[#All], [PRECIO GINEBRAS]], "")&lt;&gt;"",
                _xlfn.XLOOKUP($B$47, GINEBRA[[#All], [GINEBRAS]], GINEBRA[[#All], [PRECIO GINEBRAS]], ""),
                IF(_xlfn.XLOOKUP($B$47, TEQUILA[[#All], [TEQUILAS]], TEQUILA[[#All], [PRECIO TEQUILAS]], "")&lt;&gt;"",
                    _xlfn.XLOOKUP($B$47, TEQUILA[[#All], [TEQUILAS]], TEQUILA[[#All], [PRECIO TEQUILAS]], ""),
                    IF(_xlfn.XLOOKUP($B$47, LICOR[[#All], [LICORES]], LICOR[[#All], [PRECIO LICORES]], "")&lt;&gt;"",
                        _xlfn.XLOOKUP($B$47, LICOR[[#All], [LICORES]], LICOR[[#All], [PRECIO LICORES]], ""),
                        IF(_xlfn.XLOOKUP($B$47, VERMOUTH[[#All], [VERMOUTHS]], VERMOUTH[[#All], [PRECIO VERMOUTHS]], "")&lt;&gt;"",
                            _xlfn.XLOOKUP($B$47, VERMOUTH[[#All], [VERMOUTHS]], VERMOUTH[[#All], [PRECIO VERMOUTHS]], ""),
                            ""
                        )
                    )
                )
            )
        )
    )
)</f>
        <v/>
      </c>
      <c r="O47" s="49" t="str">
        <f>IF(OR($C$47="", $D$47=""), "", $C$47*$D$47)</f>
        <v/>
      </c>
    </row>
    <row r="48" spans="3:15" x14ac:dyDescent="0.25">
      <c r="C48" s="19"/>
      <c r="D48" s="49" t="str" cm="1">
        <f t="array" ref="D48">IF(_xlfn.XLOOKUP($B$48, RON[[#All], [RONES]], RON[[#All], [PRECIO RONES]], "")&lt;&gt;"",
    _xlfn.XLOOKUP($B$48, RON[[#All], [RONES]], RON[[#All], [PRECIO RONES]], ""),
    IF(_xlfn.XLOOKUP($B$48, VODKA[[#All], [VODKAS]], VODKA[[#All], [PRECIO VODKAS]], "")&lt;&gt;"",
        _xlfn.XLOOKUP($B$48, VODKA[[#All], [VODKAS]], VODKA[[#All], [PRECIO VODKAS]], ""),
        IF(_xlfn.XLOOKUP($B$48, WHISKY[[#All], [WHISKYS]], WHISKY[[#All], [PRECIO WHISKYS]], "")&lt;&gt;"",
            _xlfn.XLOOKUP($B$48, WHISKY[[#All], [WHISKYS]], WHISKY[[#All], [PRECIO WHISKYS]], ""),
            IF(_xlfn.XLOOKUP($B$48, GINEBRA[[#All], [GINEBRAS]], GINEBRA[[#All], [PRECIO GINEBRAS]], "")&lt;&gt;"",
                _xlfn.XLOOKUP($B$48, GINEBRA[[#All], [GINEBRAS]], GINEBRA[[#All], [PRECIO GINEBRAS]], ""),
                IF(_xlfn.XLOOKUP($B$48, TEQUILA[[#All], [TEQUILAS]], TEQUILA[[#All], [PRECIO TEQUILAS]], "")&lt;&gt;"",
                    _xlfn.XLOOKUP($B$48, TEQUILA[[#All], [TEQUILAS]], TEQUILA[[#All], [PRECIO TEQUILAS]], ""),
                    IF(_xlfn.XLOOKUP($B$48, LICOR[[#All], [LICORES]], LICOR[[#All], [PRECIO LICORES]], "")&lt;&gt;"",
                        _xlfn.XLOOKUP($B$48, LICOR[[#All], [LICORES]], LICOR[[#All], [PRECIO LICORES]], ""),
                        IF(_xlfn.XLOOKUP($B$48, VERMOUTH[[#All], [VERMOUTHS]], VERMOUTH[[#All], [PRECIO VERMOUTHS]], "")&lt;&gt;"",
                            _xlfn.XLOOKUP($B$48, VERMOUTH[[#All], [VERMOUTHS]], VERMOUTH[[#All], [PRECIO VERMOUTHS]], ""),
                            ""
                        )
                    )
                )
            )
        )
    )
)</f>
        <v/>
      </c>
      <c r="E48" s="49" t="str">
        <f>IF(OR($C$48="", $D$48=""), "", $C$48*$D$48)</f>
        <v/>
      </c>
      <c r="K48" s="44"/>
      <c r="L48" s="46"/>
      <c r="N48" s="49" t="str" cm="1">
        <f t="array" ref="N48">IF(_xlfn.XLOOKUP($B$48, RON[[#All], [RONES]], RON[[#All], [PRECIO RONES]], "")&lt;&gt;"",
    _xlfn.XLOOKUP($B$48, RON[[#All], [RONES]], RON[[#All], [PRECIO RONES]], ""),
    IF(_xlfn.XLOOKUP($B$48, VODKA[[#All], [VODKAS]], VODKA[[#All], [PRECIO VODKAS]], "")&lt;&gt;"",
        _xlfn.XLOOKUP($B$48, VODKA[[#All], [VODKAS]], VODKA[[#All], [PRECIO VODKAS]], ""),
        IF(_xlfn.XLOOKUP($B$48, WHISKY[[#All], [WHISKYS]], WHISKY[[#All], [PRECIO WHISKYS]], "")&lt;&gt;"",
            _xlfn.XLOOKUP($B$48, WHISKY[[#All], [WHISKYS]], WHISKY[[#All], [PRECIO WHISKYS]], ""),
            IF(_xlfn.XLOOKUP($B$48, GINEBRA[[#All], [GINEBRAS]], GINEBRA[[#All], [PRECIO GINEBRAS]], "")&lt;&gt;"",
                _xlfn.XLOOKUP($B$48, GINEBRA[[#All], [GINEBRAS]], GINEBRA[[#All], [PRECIO GINEBRAS]], ""),
                IF(_xlfn.XLOOKUP($B$48, TEQUILA[[#All], [TEQUILAS]], TEQUILA[[#All], [PRECIO TEQUILAS]], "")&lt;&gt;"",
                    _xlfn.XLOOKUP($B$48, TEQUILA[[#All], [TEQUILAS]], TEQUILA[[#All], [PRECIO TEQUILAS]], ""),
                    IF(_xlfn.XLOOKUP($B$48, LICOR[[#All], [LICORES]], LICOR[[#All], [PRECIO LICORES]], "")&lt;&gt;"",
                        _xlfn.XLOOKUP($B$48, LICOR[[#All], [LICORES]], LICOR[[#All], [PRECIO LICORES]], ""),
                        IF(_xlfn.XLOOKUP($B$48, VERMOUTH[[#All], [VERMOUTHS]], VERMOUTH[[#All], [PRECIO VERMOUTHS]], "")&lt;&gt;"",
                            _xlfn.XLOOKUP($B$48, VERMOUTH[[#All], [VERMOUTHS]], VERMOUTH[[#All], [PRECIO VERMOUTHS]], ""),
                            ""
                        )
                    )
                )
            )
        )
    )
)</f>
        <v/>
      </c>
      <c r="O48" s="49" t="str">
        <f>IF(OR($C$48="", $D$48=""), "", $C$48*$D$48)</f>
        <v/>
      </c>
    </row>
    <row r="49" spans="1:16" x14ac:dyDescent="0.25">
      <c r="C49" s="19"/>
      <c r="D49" s="49" t="str" cm="1">
        <f t="array" ref="D49">IF(_xlfn.XLOOKUP($B$49, RON[[#All], [RONES]], RON[[#All], [PRECIO RONES]], "")&lt;&gt;"",
    _xlfn.XLOOKUP($B$49, RON[[#All], [RONES]], RON[[#All], [PRECIO RONES]], ""),
    IF(_xlfn.XLOOKUP($B$49, VODKA[[#All], [VODKAS]], VODKA[[#All], [PRECIO VODKAS]], "")&lt;&gt;"",
        _xlfn.XLOOKUP($B$49, VODKA[[#All], [VODKAS]], VODKA[[#All], [PRECIO VODKAS]], ""),
        IF(_xlfn.XLOOKUP($B$49, WHISKY[[#All], [WHISKYS]], WHISKY[[#All], [PRECIO WHISKYS]], "")&lt;&gt;"",
            _xlfn.XLOOKUP($B$49, WHISKY[[#All], [WHISKYS]], WHISKY[[#All], [PRECIO WHISKYS]], ""),
            IF(_xlfn.XLOOKUP($B$49, GINEBRA[[#All], [GINEBRAS]], GINEBRA[[#All], [PRECIO GINEBRAS]], "")&lt;&gt;"",
                _xlfn.XLOOKUP($B$49, GINEBRA[[#All], [GINEBRAS]], GINEBRA[[#All], [PRECIO GINEBRAS]], ""),
                IF(_xlfn.XLOOKUP($B$49, TEQUILA[[#All], [TEQUILAS]], TEQUILA[[#All], [PRECIO TEQUILAS]], "")&lt;&gt;"",
                    _xlfn.XLOOKUP($B$49, TEQUILA[[#All], [TEQUILAS]], TEQUILA[[#All], [PRECIO TEQUILAS]], ""),
                    IF(_xlfn.XLOOKUP($B$49, LICOR[[#All], [LICORES]], LICOR[[#All], [PRECIO LICORES]], "")&lt;&gt;"",
                        _xlfn.XLOOKUP($B$49, LICOR[[#All], [LICORES]], LICOR[[#All], [PRECIO LICORES]], ""),
                        IF(_xlfn.XLOOKUP($B$49, VERMOUTH[[#All], [VERMOUTHS]], VERMOUTH[[#All], [PRECIO VERMOUTHS]], "")&lt;&gt;"",
                            _xlfn.XLOOKUP($B$49, VERMOUTH[[#All], [VERMOUTHS]], VERMOUTH[[#All], [PRECIO VERMOUTHS]], ""),
                            ""
                        )
                    )
                )
            )
        )
    )
)</f>
        <v/>
      </c>
      <c r="E49" s="49" t="str">
        <f>IF(OR($C$49="", $D$49=""), "", $C$49*$D$49)</f>
        <v/>
      </c>
      <c r="K49" s="44"/>
      <c r="L49" s="46"/>
      <c r="N49" s="49" t="str" cm="1">
        <f t="array" ref="N49">IF(_xlfn.XLOOKUP($B$49, RON[[#All], [RONES]], RON[[#All], [PRECIO RONES]], "")&lt;&gt;"",
    _xlfn.XLOOKUP($B$49, RON[[#All], [RONES]], RON[[#All], [PRECIO RONES]], ""),
    IF(_xlfn.XLOOKUP($B$49, VODKA[[#All], [VODKAS]], VODKA[[#All], [PRECIO VODKAS]], "")&lt;&gt;"",
        _xlfn.XLOOKUP($B$49, VODKA[[#All], [VODKAS]], VODKA[[#All], [PRECIO VODKAS]], ""),
        IF(_xlfn.XLOOKUP($B$49, WHISKY[[#All], [WHISKYS]], WHISKY[[#All], [PRECIO WHISKYS]], "")&lt;&gt;"",
            _xlfn.XLOOKUP($B$49, WHISKY[[#All], [WHISKYS]], WHISKY[[#All], [PRECIO WHISKYS]], ""),
            IF(_xlfn.XLOOKUP($B$49, GINEBRA[[#All], [GINEBRAS]], GINEBRA[[#All], [PRECIO GINEBRAS]], "")&lt;&gt;"",
                _xlfn.XLOOKUP($B$49, GINEBRA[[#All], [GINEBRAS]], GINEBRA[[#All], [PRECIO GINEBRAS]], ""),
                IF(_xlfn.XLOOKUP($B$49, TEQUILA[[#All], [TEQUILAS]], TEQUILA[[#All], [PRECIO TEQUILAS]], "")&lt;&gt;"",
                    _xlfn.XLOOKUP($B$49, TEQUILA[[#All], [TEQUILAS]], TEQUILA[[#All], [PRECIO TEQUILAS]], ""),
                    IF(_xlfn.XLOOKUP($B$49, LICOR[[#All], [LICORES]], LICOR[[#All], [PRECIO LICORES]], "")&lt;&gt;"",
                        _xlfn.XLOOKUP($B$49, LICOR[[#All], [LICORES]], LICOR[[#All], [PRECIO LICORES]], ""),
                        IF(_xlfn.XLOOKUP($B$49, VERMOUTH[[#All], [VERMOUTHS]], VERMOUTH[[#All], [PRECIO VERMOUTHS]], "")&lt;&gt;"",
                            _xlfn.XLOOKUP($B$49, VERMOUTH[[#All], [VERMOUTHS]], VERMOUTH[[#All], [PRECIO VERMOUTHS]], ""),
                            ""
                        )
                    )
                )
            )
        )
    )
)</f>
        <v/>
      </c>
      <c r="O49" s="49" t="str">
        <f>IF(OR($C$49="", $D$49=""), "", $C$49*$D$49)</f>
        <v/>
      </c>
    </row>
    <row r="50" spans="1:16" x14ac:dyDescent="0.25">
      <c r="C50" s="19"/>
      <c r="D50" s="49" t="str" cm="1">
        <f t="array" ref="D50">IF(_xlfn.XLOOKUP($B$50, RON[[#All], [RONES]], RON[[#All], [PRECIO RONES]], "")&lt;&gt;"",
    _xlfn.XLOOKUP($B$50, RON[[#All], [RONES]], RON[[#All], [PRECIO RONES]], ""),
    IF(_xlfn.XLOOKUP($B$50, VODKA[[#All], [VODKAS]], VODKA[[#All], [PRECIO VODKAS]], "")&lt;&gt;"",
        _xlfn.XLOOKUP($B$50, VODKA[[#All], [VODKAS]], VODKA[[#All], [PRECIO VODKAS]], ""),
        IF(_xlfn.XLOOKUP($B$50, WHISKY[[#All], [WHISKYS]], WHISKY[[#All], [PRECIO WHISKYS]], "")&lt;&gt;"",
            _xlfn.XLOOKUP($B$50, WHISKY[[#All], [WHISKYS]], WHISKY[[#All], [PRECIO WHISKYS]], ""),
            IF(_xlfn.XLOOKUP($B$50, GINEBRA[[#All], [GINEBRAS]], GINEBRA[[#All], [PRECIO GINEBRAS]], "")&lt;&gt;"",
                _xlfn.XLOOKUP($B$50, GINEBRA[[#All], [GINEBRAS]], GINEBRA[[#All], [PRECIO GINEBRAS]], ""),
                IF(_xlfn.XLOOKUP($B$50, TEQUILA[[#All], [TEQUILAS]], TEQUILA[[#All], [PRECIO TEQUILAS]], "")&lt;&gt;"",
                    _xlfn.XLOOKUP($B$50, TEQUILA[[#All], [TEQUILAS]], TEQUILA[[#All], [PRECIO TEQUILAS]], ""),
                    IF(_xlfn.XLOOKUP($B$50, LICOR[[#All], [LICORES]], LICOR[[#All], [PRECIO LICORES]], "")&lt;&gt;"",
                        _xlfn.XLOOKUP($B$50, LICOR[[#All], [LICORES]], LICOR[[#All], [PRECIO LICORES]], ""),
                        IF(_xlfn.XLOOKUP($B$50, VERMOUTH[[#All], [VERMOUTHS]], VERMOUTH[[#All], [PRECIO VERMOUTHS]], "")&lt;&gt;"",
                            _xlfn.XLOOKUP($B$50, VERMOUTH[[#All], [VERMOUTHS]], VERMOUTH[[#All], [PRECIO VERMOUTHS]], ""),
                            ""
                        )
                    )
                )
            )
        )
    )
)</f>
        <v/>
      </c>
      <c r="E50" s="49" t="str">
        <f>IF(OR($C$50="", $D$50=""), "", $C$50*$D$50)</f>
        <v/>
      </c>
      <c r="H50" s="27"/>
      <c r="K50" s="44"/>
      <c r="L50" s="46"/>
      <c r="N50" s="49" t="str" cm="1">
        <f t="array" ref="N50">IF(_xlfn.XLOOKUP($B$50, RON[[#All], [RONES]], RON[[#All], [PRECIO RONES]], "")&lt;&gt;"",
    _xlfn.XLOOKUP($B$50, RON[[#All], [RONES]], RON[[#All], [PRECIO RONES]], ""),
    IF(_xlfn.XLOOKUP($B$50, VODKA[[#All], [VODKAS]], VODKA[[#All], [PRECIO VODKAS]], "")&lt;&gt;"",
        _xlfn.XLOOKUP($B$50, VODKA[[#All], [VODKAS]], VODKA[[#All], [PRECIO VODKAS]], ""),
        IF(_xlfn.XLOOKUP($B$50, WHISKY[[#All], [WHISKYS]], WHISKY[[#All], [PRECIO WHISKYS]], "")&lt;&gt;"",
            _xlfn.XLOOKUP($B$50, WHISKY[[#All], [WHISKYS]], WHISKY[[#All], [PRECIO WHISKYS]], ""),
            IF(_xlfn.XLOOKUP($B$50, GINEBRA[[#All], [GINEBRAS]], GINEBRA[[#All], [PRECIO GINEBRAS]], "")&lt;&gt;"",
                _xlfn.XLOOKUP($B$50, GINEBRA[[#All], [GINEBRAS]], GINEBRA[[#All], [PRECIO GINEBRAS]], ""),
                IF(_xlfn.XLOOKUP($B$50, TEQUILA[[#All], [TEQUILAS]], TEQUILA[[#All], [PRECIO TEQUILAS]], "")&lt;&gt;"",
                    _xlfn.XLOOKUP($B$50, TEQUILA[[#All], [TEQUILAS]], TEQUILA[[#All], [PRECIO TEQUILAS]], ""),
                    IF(_xlfn.XLOOKUP($B$50, LICOR[[#All], [LICORES]], LICOR[[#All], [PRECIO LICORES]], "")&lt;&gt;"",
                        _xlfn.XLOOKUP($B$50, LICOR[[#All], [LICORES]], LICOR[[#All], [PRECIO LICORES]], ""),
                        IF(_xlfn.XLOOKUP($B$50, VERMOUTH[[#All], [VERMOUTHS]], VERMOUTH[[#All], [PRECIO VERMOUTHS]], "")&lt;&gt;"",
                            _xlfn.XLOOKUP($B$50, VERMOUTH[[#All], [VERMOUTHS]], VERMOUTH[[#All], [PRECIO VERMOUTHS]], ""),
                            ""
                        )
                    )
                )
            )
        )
    )
)</f>
        <v/>
      </c>
      <c r="O50" s="49" t="str">
        <f>IF(OR($C$50="", $D$50=""), "", $C$50*$D$50)</f>
        <v/>
      </c>
    </row>
    <row r="51" spans="1:16" x14ac:dyDescent="0.25">
      <c r="C51" s="19"/>
      <c r="D51" s="49" t="str" cm="1">
        <f t="array" ref="D51">IF(_xlfn.XLOOKUP($B$51, RON[[#All], [RONES]], RON[[#All], [PRECIO RONES]], "")&lt;&gt;"",
    _xlfn.XLOOKUP($B$51, RON[[#All], [RONES]], RON[[#All], [PRECIO RONES]], ""),
    IF(_xlfn.XLOOKUP($B$51, VODKA[[#All], [VODKAS]], VODKA[[#All], [PRECIO VODKAS]], "")&lt;&gt;"",
        _xlfn.XLOOKUP($B$51, VODKA[[#All], [VODKAS]], VODKA[[#All], [PRECIO VODKAS]], ""),
        IF(_xlfn.XLOOKUP($B$51, WHISKY[[#All], [WHISKYS]], WHISKY[[#All], [PRECIO WHISKYS]], "")&lt;&gt;"",
            _xlfn.XLOOKUP($B$51, WHISKY[[#All], [WHISKYS]], WHISKY[[#All], [PRECIO WHISKYS]], ""),
            IF(_xlfn.XLOOKUP($B$51, GINEBRA[[#All], [GINEBRAS]], GINEBRA[[#All], [PRECIO GINEBRAS]], "")&lt;&gt;"",
                _xlfn.XLOOKUP($B$51, GINEBRA[[#All], [GINEBRAS]], GINEBRA[[#All], [PRECIO GINEBRAS]], ""),
                IF(_xlfn.XLOOKUP($B$51, TEQUILA[[#All], [TEQUILAS]], TEQUILA[[#All], [PRECIO TEQUILAS]], "")&lt;&gt;"",
                    _xlfn.XLOOKUP($B$51, TEQUILA[[#All], [TEQUILAS]], TEQUILA[[#All], [PRECIO TEQUILAS]], ""),
                    IF(_xlfn.XLOOKUP($B$51, LICOR[[#All], [LICORES]], LICOR[[#All], [PRECIO LICORES]], "")&lt;&gt;"",
                        _xlfn.XLOOKUP($B$51, LICOR[[#All], [LICORES]], LICOR[[#All], [PRECIO LICORES]], ""),
                        IF(_xlfn.XLOOKUP($B$51, VERMOUTH[[#All], [VERMOUTHS]], VERMOUTH[[#All], [PRECIO VERMOUTHS]], "")&lt;&gt;"",
                            _xlfn.XLOOKUP($B$51, VERMOUTH[[#All], [VERMOUTHS]], VERMOUTH[[#All], [PRECIO VERMOUTHS]], ""),
                            ""
                        )
                    )
                )
            )
        )
    )
)</f>
        <v/>
      </c>
      <c r="E51" s="49" t="str">
        <f>IF(OR($C$51="", $D$51=""), "", $C$51*$D$51)</f>
        <v/>
      </c>
      <c r="H51" s="27"/>
      <c r="K51" s="44"/>
      <c r="L51" s="46"/>
      <c r="N51" s="49" t="str" cm="1">
        <f t="array" ref="N51">IF(_xlfn.XLOOKUP($B$51, RON[[#All], [RONES]], RON[[#All], [PRECIO RONES]], "")&lt;&gt;"",
    _xlfn.XLOOKUP($B$51, RON[[#All], [RONES]], RON[[#All], [PRECIO RONES]], ""),
    IF(_xlfn.XLOOKUP($B$51, VODKA[[#All], [VODKAS]], VODKA[[#All], [PRECIO VODKAS]], "")&lt;&gt;"",
        _xlfn.XLOOKUP($B$51, VODKA[[#All], [VODKAS]], VODKA[[#All], [PRECIO VODKAS]], ""),
        IF(_xlfn.XLOOKUP($B$51, WHISKY[[#All], [WHISKYS]], WHISKY[[#All], [PRECIO WHISKYS]], "")&lt;&gt;"",
            _xlfn.XLOOKUP($B$51, WHISKY[[#All], [WHISKYS]], WHISKY[[#All], [PRECIO WHISKYS]], ""),
            IF(_xlfn.XLOOKUP($B$51, GINEBRA[[#All], [GINEBRAS]], GINEBRA[[#All], [PRECIO GINEBRAS]], "")&lt;&gt;"",
                _xlfn.XLOOKUP($B$51, GINEBRA[[#All], [GINEBRAS]], GINEBRA[[#All], [PRECIO GINEBRAS]], ""),
                IF(_xlfn.XLOOKUP($B$51, TEQUILA[[#All], [TEQUILAS]], TEQUILA[[#All], [PRECIO TEQUILAS]], "")&lt;&gt;"",
                    _xlfn.XLOOKUP($B$51, TEQUILA[[#All], [TEQUILAS]], TEQUILA[[#All], [PRECIO TEQUILAS]], ""),
                    IF(_xlfn.XLOOKUP($B$51, LICOR[[#All], [LICORES]], LICOR[[#All], [PRECIO LICORES]], "")&lt;&gt;"",
                        _xlfn.XLOOKUP($B$51, LICOR[[#All], [LICORES]], LICOR[[#All], [PRECIO LICORES]], ""),
                        IF(_xlfn.XLOOKUP($B$51, VERMOUTH[[#All], [VERMOUTHS]], VERMOUTH[[#All], [PRECIO VERMOUTHS]], "")&lt;&gt;"",
                            _xlfn.XLOOKUP($B$51, VERMOUTH[[#All], [VERMOUTHS]], VERMOUTH[[#All], [PRECIO VERMOUTHS]], ""),
                            ""
                        )
                    )
                )
            )
        )
    )
)</f>
        <v/>
      </c>
      <c r="O51" s="49" t="str">
        <f>IF(OR($C$51="", $D$51=""), "", $C$51*$D$51)</f>
        <v/>
      </c>
    </row>
    <row r="52" spans="1:16" x14ac:dyDescent="0.25">
      <c r="C52" s="19"/>
      <c r="D52" s="49" t="str" cm="1">
        <f t="array" ref="D52">IF(_xlfn.XLOOKUP($B$52, RON[[#All], [RONES]], RON[[#All], [PRECIO RONES]], "")&lt;&gt;"",
    _xlfn.XLOOKUP($B$52, RON[[#All], [RONES]], RON[[#All], [PRECIO RONES]], ""),
    IF(_xlfn.XLOOKUP($B$52, VODKA[[#All], [VODKAS]], VODKA[[#All], [PRECIO VODKAS]], "")&lt;&gt;"",
        _xlfn.XLOOKUP($B$52, VODKA[[#All], [VODKAS]], VODKA[[#All], [PRECIO VODKAS]], ""),
        IF(_xlfn.XLOOKUP($B$52, WHISKY[[#All], [WHISKYS]], WHISKY[[#All], [PRECIO WHISKYS]], "")&lt;&gt;"",
            _xlfn.XLOOKUP($B$52, WHISKY[[#All], [WHISKYS]], WHISKY[[#All], [PRECIO WHISKYS]], ""),
            IF(_xlfn.XLOOKUP($B$52, GINEBRA[[#All], [GINEBRAS]], GINEBRA[[#All], [PRECIO GINEBRAS]], "")&lt;&gt;"",
                _xlfn.XLOOKUP($B$52, GINEBRA[[#All], [GINEBRAS]], GINEBRA[[#All], [PRECIO GINEBRAS]], ""),
                IF(_xlfn.XLOOKUP($B$52, TEQUILA[[#All], [TEQUILAS]], TEQUILA[[#All], [PRECIO TEQUILAS]], "")&lt;&gt;"",
                    _xlfn.XLOOKUP($B$52, TEQUILA[[#All], [TEQUILAS]], TEQUILA[[#All], [PRECIO TEQUILAS]], ""),
                    IF(_xlfn.XLOOKUP($B$52, LICOR[[#All], [LICORES]], LICOR[[#All], [PRECIO LICORES]], "")&lt;&gt;"",
                        _xlfn.XLOOKUP($B$52, LICOR[[#All], [LICORES]], LICOR[[#All], [PRECIO LICORES]], ""),
                        IF(_xlfn.XLOOKUP($B$52, VERMOUTH[[#All], [VERMOUTHS]], VERMOUTH[[#All], [PRECIO VERMOUTHS]], "")&lt;&gt;"",
                            _xlfn.XLOOKUP($B$52, VERMOUTH[[#All], [VERMOUTHS]], VERMOUTH[[#All], [PRECIO VERMOUTHS]], ""),
                            ""
                        )
                    )
                )
            )
        )
    )
)</f>
        <v/>
      </c>
      <c r="E52" s="49" t="str">
        <f>IF(OR($C$52="", $D$52=""), "", $C$52*$D$52)</f>
        <v/>
      </c>
      <c r="H52" s="27"/>
      <c r="K52" s="44"/>
      <c r="L52" s="46"/>
      <c r="N52" s="49" t="str" cm="1">
        <f t="array" ref="N52">IF(_xlfn.XLOOKUP($B$52, RON[[#All], [RONES]], RON[[#All], [PRECIO RONES]], "")&lt;&gt;"",
    _xlfn.XLOOKUP($B$52, RON[[#All], [RONES]], RON[[#All], [PRECIO RONES]], ""),
    IF(_xlfn.XLOOKUP($B$52, VODKA[[#All], [VODKAS]], VODKA[[#All], [PRECIO VODKAS]], "")&lt;&gt;"",
        _xlfn.XLOOKUP($B$52, VODKA[[#All], [VODKAS]], VODKA[[#All], [PRECIO VODKAS]], ""),
        IF(_xlfn.XLOOKUP($B$52, WHISKY[[#All], [WHISKYS]], WHISKY[[#All], [PRECIO WHISKYS]], "")&lt;&gt;"",
            _xlfn.XLOOKUP($B$52, WHISKY[[#All], [WHISKYS]], WHISKY[[#All], [PRECIO WHISKYS]], ""),
            IF(_xlfn.XLOOKUP($B$52, GINEBRA[[#All], [GINEBRAS]], GINEBRA[[#All], [PRECIO GINEBRAS]], "")&lt;&gt;"",
                _xlfn.XLOOKUP($B$52, GINEBRA[[#All], [GINEBRAS]], GINEBRA[[#All], [PRECIO GINEBRAS]], ""),
                IF(_xlfn.XLOOKUP($B$52, TEQUILA[[#All], [TEQUILAS]], TEQUILA[[#All], [PRECIO TEQUILAS]], "")&lt;&gt;"",
                    _xlfn.XLOOKUP($B$52, TEQUILA[[#All], [TEQUILAS]], TEQUILA[[#All], [PRECIO TEQUILAS]], ""),
                    IF(_xlfn.XLOOKUP($B$52, LICOR[[#All], [LICORES]], LICOR[[#All], [PRECIO LICORES]], "")&lt;&gt;"",
                        _xlfn.XLOOKUP($B$52, LICOR[[#All], [LICORES]], LICOR[[#All], [PRECIO LICORES]], ""),
                        IF(_xlfn.XLOOKUP($B$52, VERMOUTH[[#All], [VERMOUTHS]], VERMOUTH[[#All], [PRECIO VERMOUTHS]], "")&lt;&gt;"",
                            _xlfn.XLOOKUP($B$52, VERMOUTH[[#All], [VERMOUTHS]], VERMOUTH[[#All], [PRECIO VERMOUTHS]], ""),
                            ""
                        )
                    )
                )
            )
        )
    )
)</f>
        <v/>
      </c>
      <c r="O52" s="49" t="str">
        <f>IF(OR($C$52="", $D$52=""), "", $C$52*$D$52)</f>
        <v/>
      </c>
    </row>
    <row r="53" spans="1:16" x14ac:dyDescent="0.25">
      <c r="D53" s="49" t="str" cm="1">
        <f t="array" ref="D53">IF(_xlfn.XLOOKUP($B$53, RON[[#All], [RONES]], RON[[#All], [PRECIO RONES]], "")&lt;&gt;"",
    _xlfn.XLOOKUP($B$53, RON[[#All], [RONES]], RON[[#All], [PRECIO RONES]], ""),
    IF(_xlfn.XLOOKUP($B$53, VODKA[[#All], [VODKAS]], VODKA[[#All], [PRECIO VODKAS]], "")&lt;&gt;"",
        _xlfn.XLOOKUP($B$53, VODKA[[#All], [VODKAS]], VODKA[[#All], [PRECIO VODKAS]], ""),
        IF(_xlfn.XLOOKUP($B$53, WHISKY[[#All], [WHISKYS]], WHISKY[[#All], [PRECIO WHISKYS]], "")&lt;&gt;"",
            _xlfn.XLOOKUP($B$53, WHISKY[[#All], [WHISKYS]], WHISKY[[#All], [PRECIO WHISKYS]], ""),
            IF(_xlfn.XLOOKUP($B$53, GINEBRA[[#All], [GINEBRAS]], GINEBRA[[#All], [PRECIO GINEBRAS]], "")&lt;&gt;"",
                _xlfn.XLOOKUP($B$53, GINEBRA[[#All], [GINEBRAS]], GINEBRA[[#All], [PRECIO GINEBRAS]], ""),
                IF(_xlfn.XLOOKUP($B$53, TEQUILA[[#All], [TEQUILAS]], TEQUILA[[#All], [PRECIO TEQUILAS]], "")&lt;&gt;"",
                    _xlfn.XLOOKUP($B$53, TEQUILA[[#All], [TEQUILAS]], TEQUILA[[#All], [PRECIO TEQUILAS]], ""),
                    IF(_xlfn.XLOOKUP($B$53, LICOR[[#All], [LICORES]], LICOR[[#All], [PRECIO LICORES]], "")&lt;&gt;"",
                        _xlfn.XLOOKUP($B$53, LICOR[[#All], [LICORES]], LICOR[[#All], [PRECIO LICORES]], ""),
                        IF(_xlfn.XLOOKUP($B$53, VERMOUTH[[#All], [VERMOUTHS]], VERMOUTH[[#All], [PRECIO VERMOUTHS]], "")&lt;&gt;"",
                            _xlfn.XLOOKUP($B$53, VERMOUTH[[#All], [VERMOUTHS]], VERMOUTH[[#All], [PRECIO VERMOUTHS]], ""),
                            ""
                        )
                    )
                )
            )
        )
    )
)</f>
        <v/>
      </c>
      <c r="E53" s="49" t="str">
        <f>IF(OR($C$53="", $D$53=""), "", $C$53*$D$53)</f>
        <v/>
      </c>
      <c r="H53" s="27"/>
      <c r="K53" s="44"/>
      <c r="L53" s="46"/>
      <c r="N53" s="49" t="str" cm="1">
        <f t="array" ref="N53">IF(_xlfn.XLOOKUP($B$53, RON[[#All], [RONES]], RON[[#All], [PRECIO RONES]], "")&lt;&gt;"",
    _xlfn.XLOOKUP($B$53, RON[[#All], [RONES]], RON[[#All], [PRECIO RONES]], ""),
    IF(_xlfn.XLOOKUP($B$53, VODKA[[#All], [VODKAS]], VODKA[[#All], [PRECIO VODKAS]], "")&lt;&gt;"",
        _xlfn.XLOOKUP($B$53, VODKA[[#All], [VODKAS]], VODKA[[#All], [PRECIO VODKAS]], ""),
        IF(_xlfn.XLOOKUP($B$53, WHISKY[[#All], [WHISKYS]], WHISKY[[#All], [PRECIO WHISKYS]], "")&lt;&gt;"",
            _xlfn.XLOOKUP($B$53, WHISKY[[#All], [WHISKYS]], WHISKY[[#All], [PRECIO WHISKYS]], ""),
            IF(_xlfn.XLOOKUP($B$53, GINEBRA[[#All], [GINEBRAS]], GINEBRA[[#All], [PRECIO GINEBRAS]], "")&lt;&gt;"",
                _xlfn.XLOOKUP($B$53, GINEBRA[[#All], [GINEBRAS]], GINEBRA[[#All], [PRECIO GINEBRAS]], ""),
                IF(_xlfn.XLOOKUP($B$53, TEQUILA[[#All], [TEQUILAS]], TEQUILA[[#All], [PRECIO TEQUILAS]], "")&lt;&gt;"",
                    _xlfn.XLOOKUP($B$53, TEQUILA[[#All], [TEQUILAS]], TEQUILA[[#All], [PRECIO TEQUILAS]], ""),
                    IF(_xlfn.XLOOKUP($B$53, LICOR[[#All], [LICORES]], LICOR[[#All], [PRECIO LICORES]], "")&lt;&gt;"",
                        _xlfn.XLOOKUP($B$53, LICOR[[#All], [LICORES]], LICOR[[#All], [PRECIO LICORES]], ""),
                        IF(_xlfn.XLOOKUP($B$53, VERMOUTH[[#All], [VERMOUTHS]], VERMOUTH[[#All], [PRECIO VERMOUTHS]], "")&lt;&gt;"",
                            _xlfn.XLOOKUP($B$53, VERMOUTH[[#All], [VERMOUTHS]], VERMOUTH[[#All], [PRECIO VERMOUTHS]], ""),
                            ""
                        )
                    )
                )
            )
        )
    )
)</f>
        <v/>
      </c>
      <c r="O53" s="49" t="str">
        <f>IF(OR($C$53="", $D$53=""), "", $C$53*$D$53)</f>
        <v/>
      </c>
    </row>
    <row r="54" spans="1:16" x14ac:dyDescent="0.25">
      <c r="A54" s="28"/>
      <c r="B54" s="28"/>
      <c r="C54" s="28"/>
      <c r="D54" s="28"/>
      <c r="E54" s="28" t="s">
        <v>189</v>
      </c>
      <c r="F54" s="28" t="s">
        <v>189</v>
      </c>
      <c r="G54" s="28" t="s">
        <v>189</v>
      </c>
      <c r="H54" s="28" t="s">
        <v>189</v>
      </c>
      <c r="I54" s="28" t="s">
        <v>189</v>
      </c>
      <c r="J54" s="28" t="s">
        <v>189</v>
      </c>
      <c r="K54" s="28" t="s">
        <v>189</v>
      </c>
      <c r="L54" s="45" t="s">
        <v>189</v>
      </c>
      <c r="M54" s="28" t="s">
        <v>189</v>
      </c>
      <c r="N54" s="28" t="s">
        <v>189</v>
      </c>
      <c r="O54" s="45" t="s">
        <v>189</v>
      </c>
      <c r="P54" s="28" t="s">
        <v>189</v>
      </c>
    </row>
    <row r="55" spans="1:16" x14ac:dyDescent="0.25">
      <c r="A55" s="7"/>
      <c r="C55" s="7"/>
      <c r="D55" s="7"/>
      <c r="E55" s="7"/>
      <c r="F55" s="7"/>
      <c r="G55" s="29"/>
      <c r="H55" s="29"/>
      <c r="I55" s="7"/>
      <c r="J55" s="7"/>
      <c r="K55" s="44"/>
      <c r="L55" s="46"/>
    </row>
    <row r="56" spans="1:16" x14ac:dyDescent="0.25">
      <c r="A56" s="7"/>
      <c r="C56" s="7"/>
      <c r="D56" s="7"/>
      <c r="E56" s="7"/>
      <c r="F56" s="7"/>
      <c r="G56" s="29"/>
      <c r="H56" s="29"/>
      <c r="I56" s="7"/>
      <c r="J56" s="7"/>
      <c r="K56" s="44"/>
      <c r="L56" s="46"/>
    </row>
    <row r="57" spans="1:16" x14ac:dyDescent="0.25">
      <c r="A57" s="7"/>
      <c r="C57" s="7"/>
      <c r="D57" s="7"/>
      <c r="E57" s="7"/>
      <c r="F57" s="7"/>
      <c r="G57" s="29"/>
      <c r="H57" s="29"/>
      <c r="I57" s="7"/>
      <c r="J57" s="7"/>
      <c r="K57" s="44"/>
      <c r="L57" s="46"/>
    </row>
  </sheetData>
  <dataConsolidate/>
  <mergeCells count="3">
    <mergeCell ref="D10:F10"/>
    <mergeCell ref="D6:E6"/>
    <mergeCell ref="D7:E7"/>
  </mergeCells>
  <dataValidations count="4">
    <dataValidation type="list" allowBlank="1" showInputMessage="1" showErrorMessage="1" sqref="D10:F10" xr:uid="{5F978F7D-410A-454A-94CD-830EB7EE6E88}">
      <formula1>INDIRECT("Proveedor")</formula1>
    </dataValidation>
    <dataValidation type="list" allowBlank="1" showInputMessage="1" showErrorMessage="1" sqref="H21" xr:uid="{0A659BA7-6E26-403B-B209-9ADA3D25E843}">
      <formula1>INDIRECT("RONES_" &amp; SUBSTITUTE($D$10, " ", "_"))</formula1>
    </dataValidation>
    <dataValidation type="list" allowBlank="1" showInputMessage="1" showErrorMessage="1" sqref="H14" xr:uid="{64BFDF60-BC53-4DEE-85F8-2727ADFA3DF8}">
      <formula1>INDIRECT(SUBSTITUTE(#REF!, " ", "_") &amp; "_" &amp; SUBSTITUTE($D$10, " ", "_"))</formula1>
    </dataValidation>
    <dataValidation type="list" allowBlank="1" showInputMessage="1" showErrorMessage="1" sqref="B18:B53" xr:uid="{E4181EB8-54B2-4E8C-8C20-2613A18D75C3}">
      <formula1>INDIRECT(SUBSTITUTE($A18, " ", "_") &amp; "_" &amp; SUBSTITUTE($D$10, " ", "_"))</formula1>
    </dataValidation>
  </dataValidations>
  <hyperlinks>
    <hyperlink ref="B12" r:id="rId1" xr:uid="{7BCFCB2A-197A-4F4C-A0D7-50A6E2B46262}"/>
  </hyperlinks>
  <pageMargins left="0.25" right="0.25" top="0.75" bottom="0.75" header="0.3" footer="0.3"/>
  <pageSetup paperSize="9" scale="9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registro">
              <controlPr defaultSize="0" print="0" autoFill="0" autoPict="0" macro="[0]!GuardarArchivo">
                <anchor moveWithCells="1" sizeWithCells="1">
                  <from>
                    <xdr:col>6</xdr:col>
                    <xdr:colOff>752475</xdr:colOff>
                    <xdr:row>10</xdr:row>
                    <xdr:rowOff>9525</xdr:rowOff>
                  </from>
                  <to>
                    <xdr:col>8</xdr:col>
                    <xdr:colOff>247650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ódulo5.GuardarRegistroEImprimirPDF">
                <anchor moveWithCells="1" sizeWithCells="1">
                  <from>
                    <xdr:col>7</xdr:col>
                    <xdr:colOff>0</xdr:colOff>
                    <xdr:row>12</xdr:row>
                    <xdr:rowOff>161925</xdr:rowOff>
                  </from>
                  <to>
                    <xdr:col>8</xdr:col>
                    <xdr:colOff>276225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CargarPedidoConLimite">
                <anchor moveWithCells="1" sizeWithCells="1">
                  <from>
                    <xdr:col>6</xdr:col>
                    <xdr:colOff>752475</xdr:colOff>
                    <xdr:row>16</xdr:row>
                    <xdr:rowOff>9525</xdr:rowOff>
                  </from>
                  <to>
                    <xdr:col>7</xdr:col>
                    <xdr:colOff>1238250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ModificarPedidoSinDuplicados">
                <anchor moveWithCells="1" sizeWithCells="1">
                  <from>
                    <xdr:col>8</xdr:col>
                    <xdr:colOff>752475</xdr:colOff>
                    <xdr:row>16</xdr:row>
                    <xdr:rowOff>9525</xdr:rowOff>
                  </from>
                  <to>
                    <xdr:col>10</xdr:col>
                    <xdr:colOff>495300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A6B6AC7-5EE4-4DED-B90F-D0CFA2C008F6}">
          <x14:formula1>
            <xm:f>Categorias!$B$4:$B$6</xm:f>
          </x14:formula1>
          <xm:sqref>A17</xm:sqref>
        </x14:dataValidation>
        <x14:dataValidation type="list" allowBlank="1" showInputMessage="1" showErrorMessage="1" xr:uid="{885F7254-E00A-4EE0-9F96-0FCE1FE57F64}">
          <x14:formula1>
            <xm:f>Categorias!$B$4:$B$32</xm:f>
          </x14:formula1>
          <xm:sqref>A18:A53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1F26F-3397-4E04-83B1-7D8C3FD1F871}">
  <sheetPr codeName="Hoja2"/>
  <dimension ref="A1:M219"/>
  <sheetViews>
    <sheetView workbookViewId="0">
      <pane ySplit="1" topLeftCell="A2" activePane="bottomLeft" state="frozen"/>
      <selection pane="bottomLeft" activeCell="C29" sqref="C29"/>
    </sheetView>
  </sheetViews>
  <sheetFormatPr baseColWidth="10" defaultRowHeight="15" x14ac:dyDescent="0.25"/>
  <cols>
    <col min="1" max="1" width="13.5703125" style="38" bestFit="1" customWidth="1"/>
    <col min="2" max="2" width="10.7109375" bestFit="1" customWidth="1"/>
    <col min="3" max="3" width="18.85546875" bestFit="1" customWidth="1"/>
    <col min="4" max="4" width="13.85546875" bestFit="1" customWidth="1"/>
    <col min="5" max="5" width="31.85546875" bestFit="1" customWidth="1"/>
    <col min="6" max="6" width="12.5703125" bestFit="1" customWidth="1"/>
    <col min="7" max="7" width="10.140625" style="42" bestFit="1" customWidth="1"/>
    <col min="8" max="8" width="12.28515625" style="42" bestFit="1" customWidth="1"/>
    <col min="9" max="9" width="11.42578125" style="42" bestFit="1" customWidth="1"/>
    <col min="10" max="10" width="9.5703125" style="42" bestFit="1" customWidth="1"/>
    <col min="11" max="11" width="16" style="42" bestFit="1" customWidth="1"/>
    <col min="12" max="12" width="9.5703125" style="42" bestFit="1" customWidth="1"/>
    <col min="13" max="13" width="9.85546875" customWidth="1"/>
  </cols>
  <sheetData>
    <row r="1" spans="1:12" s="51" customFormat="1" ht="20.25" thickBot="1" x14ac:dyDescent="0.35">
      <c r="A1" s="59" t="s">
        <v>53</v>
      </c>
      <c r="B1" s="60" t="s">
        <v>5</v>
      </c>
      <c r="C1" s="60" t="s">
        <v>40</v>
      </c>
      <c r="D1" s="60" t="s">
        <v>55</v>
      </c>
      <c r="E1" s="60" t="s">
        <v>276</v>
      </c>
      <c r="F1" s="60" t="s">
        <v>277</v>
      </c>
      <c r="G1" s="61" t="s">
        <v>278</v>
      </c>
      <c r="H1" s="61" t="s">
        <v>279</v>
      </c>
      <c r="I1" s="61" t="s">
        <v>280</v>
      </c>
      <c r="J1" s="61" t="s">
        <v>38</v>
      </c>
      <c r="K1" s="61" t="s">
        <v>190</v>
      </c>
      <c r="L1" s="61" t="s">
        <v>281</v>
      </c>
    </row>
    <row r="2" spans="1:12" s="51" customFormat="1" ht="15.75" thickTop="1" x14ac:dyDescent="0.25">
      <c r="A2" s="55"/>
      <c r="G2" s="57"/>
      <c r="H2" s="57"/>
      <c r="I2" s="57"/>
      <c r="J2" s="57"/>
      <c r="K2" s="57"/>
      <c r="L2" s="57"/>
    </row>
    <row r="3" spans="1:12" s="51" customFormat="1" x14ac:dyDescent="0.25">
      <c r="A3" s="55"/>
      <c r="G3" s="57"/>
      <c r="H3" s="57"/>
      <c r="I3" s="57"/>
      <c r="J3" s="57"/>
      <c r="K3" s="57"/>
      <c r="L3" s="57"/>
    </row>
    <row r="4" spans="1:12" s="51" customFormat="1" x14ac:dyDescent="0.25">
      <c r="A4" s="55">
        <v>1</v>
      </c>
      <c r="B4" s="56">
        <v>45515</v>
      </c>
      <c r="C4" s="51" t="s">
        <v>22</v>
      </c>
      <c r="D4" s="51" t="s">
        <v>18</v>
      </c>
      <c r="E4" s="51" t="s">
        <v>233</v>
      </c>
      <c r="F4" s="51">
        <v>7</v>
      </c>
      <c r="G4" s="57">
        <v>10.45</v>
      </c>
      <c r="H4" s="57">
        <v>73.150000000000006</v>
      </c>
      <c r="I4" s="57"/>
      <c r="J4" s="57"/>
      <c r="K4" s="57"/>
      <c r="L4" s="57"/>
    </row>
    <row r="5" spans="1:12" s="51" customFormat="1" x14ac:dyDescent="0.25">
      <c r="A5" s="55">
        <v>1</v>
      </c>
      <c r="B5" s="56">
        <v>45515</v>
      </c>
      <c r="C5" s="51" t="s">
        <v>22</v>
      </c>
      <c r="D5" s="51" t="s">
        <v>18</v>
      </c>
      <c r="E5" s="51" t="s">
        <v>23</v>
      </c>
      <c r="F5" s="51">
        <v>4</v>
      </c>
      <c r="G5" s="57">
        <v>13.74</v>
      </c>
      <c r="H5" s="57">
        <v>54.96</v>
      </c>
      <c r="I5" s="57"/>
      <c r="J5" s="57"/>
      <c r="K5" s="57"/>
      <c r="L5" s="57"/>
    </row>
    <row r="6" spans="1:12" s="51" customFormat="1" x14ac:dyDescent="0.25">
      <c r="A6" s="55">
        <v>1</v>
      </c>
      <c r="B6" s="56">
        <v>45515</v>
      </c>
      <c r="C6" s="51" t="s">
        <v>22</v>
      </c>
      <c r="D6" s="51" t="s">
        <v>18</v>
      </c>
      <c r="E6" s="51" t="s">
        <v>230</v>
      </c>
      <c r="F6" s="51">
        <v>1</v>
      </c>
      <c r="G6" s="57">
        <v>11.38</v>
      </c>
      <c r="H6" s="57">
        <v>11.38</v>
      </c>
      <c r="I6" s="57"/>
      <c r="J6" s="57"/>
      <c r="K6" s="57"/>
      <c r="L6" s="57"/>
    </row>
    <row r="7" spans="1:12" s="51" customFormat="1" x14ac:dyDescent="0.25">
      <c r="A7" s="55">
        <v>1</v>
      </c>
      <c r="B7" s="56">
        <v>45515</v>
      </c>
      <c r="C7" s="51" t="s">
        <v>22</v>
      </c>
      <c r="D7" s="51" t="s">
        <v>47</v>
      </c>
      <c r="E7" s="51" t="s">
        <v>247</v>
      </c>
      <c r="F7" s="51">
        <v>7</v>
      </c>
      <c r="G7" s="57">
        <v>14.98</v>
      </c>
      <c r="H7" s="57">
        <v>104.86</v>
      </c>
      <c r="I7" s="57"/>
      <c r="J7" s="57"/>
      <c r="K7" s="57"/>
      <c r="L7" s="57"/>
    </row>
    <row r="8" spans="1:12" s="51" customFormat="1" x14ac:dyDescent="0.25">
      <c r="A8" s="55">
        <v>1</v>
      </c>
      <c r="B8" s="56">
        <v>45515</v>
      </c>
      <c r="C8" s="51" t="s">
        <v>22</v>
      </c>
      <c r="D8" s="51" t="s">
        <v>47</v>
      </c>
      <c r="E8" s="51" t="s">
        <v>251</v>
      </c>
      <c r="F8" s="51">
        <v>4</v>
      </c>
      <c r="G8" s="57">
        <v>12.11</v>
      </c>
      <c r="H8" s="57">
        <v>48.44</v>
      </c>
      <c r="I8" s="57"/>
      <c r="J8" s="57"/>
      <c r="K8" s="57"/>
      <c r="L8" s="57"/>
    </row>
    <row r="9" spans="1:12" s="51" customFormat="1" x14ac:dyDescent="0.25">
      <c r="A9" s="55">
        <v>1</v>
      </c>
      <c r="B9" s="56">
        <v>45515</v>
      </c>
      <c r="C9" s="51" t="s">
        <v>22</v>
      </c>
      <c r="D9" s="51" t="s">
        <v>47</v>
      </c>
      <c r="E9" s="51" t="s">
        <v>207</v>
      </c>
      <c r="F9" s="51">
        <v>1</v>
      </c>
      <c r="G9" s="57">
        <v>44.3</v>
      </c>
      <c r="H9" s="57">
        <v>44.3</v>
      </c>
      <c r="I9" s="57"/>
      <c r="J9" s="57"/>
      <c r="K9" s="57"/>
      <c r="L9" s="57"/>
    </row>
    <row r="10" spans="1:12" s="51" customFormat="1" x14ac:dyDescent="0.25">
      <c r="A10" s="55">
        <v>1</v>
      </c>
      <c r="B10" s="56">
        <v>45515</v>
      </c>
      <c r="C10" s="51" t="s">
        <v>22</v>
      </c>
      <c r="D10" s="51" t="s">
        <v>87</v>
      </c>
      <c r="E10" s="51" t="s">
        <v>223</v>
      </c>
      <c r="F10" s="51">
        <v>2</v>
      </c>
      <c r="G10" s="57">
        <v>46</v>
      </c>
      <c r="H10" s="57">
        <v>92</v>
      </c>
      <c r="I10" s="57">
        <v>429.09</v>
      </c>
      <c r="J10" s="57">
        <v>90.108899999999991</v>
      </c>
      <c r="K10" s="57">
        <v>17.163599999999999</v>
      </c>
      <c r="L10" s="57">
        <v>502.03530000000001</v>
      </c>
    </row>
    <row r="11" spans="1:12" s="51" customFormat="1" x14ac:dyDescent="0.25">
      <c r="A11" s="55"/>
      <c r="G11" s="57"/>
      <c r="H11" s="57"/>
      <c r="I11" s="57"/>
      <c r="J11" s="57"/>
      <c r="K11" s="57"/>
      <c r="L11" s="57"/>
    </row>
    <row r="12" spans="1:12" s="51" customFormat="1" x14ac:dyDescent="0.25">
      <c r="A12" s="55"/>
      <c r="G12" s="57"/>
      <c r="H12" s="57"/>
      <c r="I12" s="57"/>
      <c r="J12" s="57"/>
      <c r="K12" s="57"/>
      <c r="L12" s="57"/>
    </row>
    <row r="13" spans="1:12" s="51" customFormat="1" x14ac:dyDescent="0.25">
      <c r="A13" s="55">
        <v>2</v>
      </c>
      <c r="B13" s="56">
        <v>45515</v>
      </c>
      <c r="C13" s="51" t="s">
        <v>22</v>
      </c>
      <c r="D13" s="51" t="s">
        <v>47</v>
      </c>
      <c r="E13" s="51" t="s">
        <v>247</v>
      </c>
      <c r="F13" s="51">
        <v>7</v>
      </c>
      <c r="G13" s="57">
        <v>14.98</v>
      </c>
      <c r="H13" s="57">
        <v>104.86</v>
      </c>
      <c r="I13" s="57"/>
      <c r="J13" s="57"/>
      <c r="K13" s="57"/>
      <c r="L13" s="57"/>
    </row>
    <row r="14" spans="1:12" s="51" customFormat="1" x14ac:dyDescent="0.25">
      <c r="A14" s="55">
        <v>2</v>
      </c>
      <c r="B14" s="56">
        <v>45515</v>
      </c>
      <c r="C14" s="51" t="s">
        <v>22</v>
      </c>
      <c r="D14" s="51" t="s">
        <v>47</v>
      </c>
      <c r="E14" s="51" t="s">
        <v>251</v>
      </c>
      <c r="F14" s="51">
        <v>4</v>
      </c>
      <c r="G14" s="57">
        <v>12.11</v>
      </c>
      <c r="H14" s="57">
        <v>48.44</v>
      </c>
      <c r="I14" s="57"/>
      <c r="J14" s="57"/>
      <c r="K14" s="57"/>
      <c r="L14" s="57"/>
    </row>
    <row r="15" spans="1:12" s="51" customFormat="1" x14ac:dyDescent="0.25">
      <c r="A15" s="55">
        <v>2</v>
      </c>
      <c r="B15" s="56">
        <v>45515</v>
      </c>
      <c r="C15" s="51" t="s">
        <v>22</v>
      </c>
      <c r="D15" s="51" t="s">
        <v>47</v>
      </c>
      <c r="E15" s="51" t="s">
        <v>207</v>
      </c>
      <c r="F15" s="51">
        <v>1</v>
      </c>
      <c r="G15" s="57">
        <v>44.3</v>
      </c>
      <c r="H15" s="57">
        <v>44.3</v>
      </c>
      <c r="I15" s="57"/>
      <c r="J15" s="57"/>
      <c r="K15" s="57"/>
      <c r="L15" s="57"/>
    </row>
    <row r="16" spans="1:12" s="51" customFormat="1" x14ac:dyDescent="0.25">
      <c r="A16" s="55">
        <v>2</v>
      </c>
      <c r="B16" s="56">
        <v>45515</v>
      </c>
      <c r="C16" s="51" t="s">
        <v>22</v>
      </c>
      <c r="D16" s="51" t="s">
        <v>42</v>
      </c>
      <c r="E16" s="51" t="s">
        <v>215</v>
      </c>
      <c r="F16" s="51">
        <v>2</v>
      </c>
      <c r="G16" s="57">
        <v>11.98</v>
      </c>
      <c r="H16" s="57">
        <v>23.96</v>
      </c>
      <c r="I16" s="57"/>
      <c r="J16" s="57"/>
      <c r="K16" s="57"/>
      <c r="L16" s="57"/>
    </row>
    <row r="17" spans="1:12" s="51" customFormat="1" x14ac:dyDescent="0.25">
      <c r="A17" s="55">
        <v>2</v>
      </c>
      <c r="B17" s="56">
        <v>45515</v>
      </c>
      <c r="C17" s="51" t="s">
        <v>22</v>
      </c>
      <c r="D17" s="51" t="s">
        <v>42</v>
      </c>
      <c r="E17" s="51" t="s">
        <v>216</v>
      </c>
      <c r="F17" s="51">
        <v>5</v>
      </c>
      <c r="G17" s="57">
        <v>25</v>
      </c>
      <c r="H17" s="57">
        <v>125</v>
      </c>
      <c r="I17" s="57"/>
      <c r="J17" s="57"/>
      <c r="K17" s="57"/>
      <c r="L17" s="57"/>
    </row>
    <row r="18" spans="1:12" s="51" customFormat="1" x14ac:dyDescent="0.25">
      <c r="A18" s="55">
        <v>2</v>
      </c>
      <c r="B18" s="56">
        <v>45515</v>
      </c>
      <c r="C18" s="51" t="s">
        <v>22</v>
      </c>
      <c r="D18" s="51" t="s">
        <v>87</v>
      </c>
      <c r="E18" s="51" t="s">
        <v>220</v>
      </c>
      <c r="F18" s="51">
        <v>8</v>
      </c>
      <c r="G18" s="57">
        <v>19.940000000000001</v>
      </c>
      <c r="H18" s="57">
        <v>159.52000000000001</v>
      </c>
      <c r="I18" s="57"/>
      <c r="J18" s="57"/>
      <c r="K18" s="57"/>
      <c r="L18" s="57"/>
    </row>
    <row r="19" spans="1:12" s="51" customFormat="1" x14ac:dyDescent="0.25">
      <c r="A19" s="55">
        <v>2</v>
      </c>
      <c r="B19" s="56">
        <v>45515</v>
      </c>
      <c r="C19" s="51" t="s">
        <v>22</v>
      </c>
      <c r="D19" s="51" t="s">
        <v>129</v>
      </c>
      <c r="E19" s="51" t="s">
        <v>194</v>
      </c>
      <c r="F19" s="51">
        <v>9</v>
      </c>
      <c r="G19" s="57">
        <v>10.98</v>
      </c>
      <c r="H19" s="57">
        <v>98.82</v>
      </c>
      <c r="I19" s="57"/>
      <c r="J19" s="57"/>
      <c r="K19" s="57"/>
      <c r="L19" s="57"/>
    </row>
    <row r="20" spans="1:12" s="51" customFormat="1" x14ac:dyDescent="0.25">
      <c r="A20" s="55">
        <v>2</v>
      </c>
      <c r="B20" s="56">
        <v>45515</v>
      </c>
      <c r="C20" s="51" t="s">
        <v>22</v>
      </c>
      <c r="D20" s="51" t="s">
        <v>129</v>
      </c>
      <c r="E20" s="51" t="s">
        <v>140</v>
      </c>
      <c r="F20" s="51">
        <v>6</v>
      </c>
      <c r="G20" s="57">
        <v>13.99</v>
      </c>
      <c r="H20" s="57">
        <v>83.94</v>
      </c>
      <c r="I20" s="57">
        <v>688.84000000000015</v>
      </c>
      <c r="J20" s="57">
        <v>144.65640000000002</v>
      </c>
      <c r="K20" s="57">
        <v>27.553600000000007</v>
      </c>
      <c r="L20" s="57">
        <v>805.94280000000026</v>
      </c>
    </row>
    <row r="21" spans="1:12" s="51" customFormat="1" x14ac:dyDescent="0.25">
      <c r="A21" s="55"/>
      <c r="B21" s="56"/>
      <c r="G21" s="57"/>
      <c r="H21" s="57"/>
      <c r="I21" s="57"/>
      <c r="J21" s="57"/>
      <c r="K21" s="57"/>
      <c r="L21" s="57"/>
    </row>
    <row r="22" spans="1:12" s="51" customFormat="1" x14ac:dyDescent="0.25">
      <c r="A22" s="55"/>
      <c r="B22" s="56"/>
      <c r="G22" s="57"/>
      <c r="H22" s="57"/>
      <c r="I22" s="57"/>
      <c r="J22" s="57"/>
      <c r="K22" s="57"/>
      <c r="L22" s="57"/>
    </row>
    <row r="23" spans="1:12" s="51" customFormat="1" x14ac:dyDescent="0.25">
      <c r="A23" s="55"/>
      <c r="B23" s="56"/>
      <c r="G23" s="57"/>
      <c r="H23" s="57"/>
      <c r="I23" s="57"/>
      <c r="J23" s="57"/>
      <c r="K23" s="57"/>
      <c r="L23" s="57"/>
    </row>
    <row r="24" spans="1:12" s="51" customFormat="1" x14ac:dyDescent="0.25">
      <c r="A24" s="55"/>
      <c r="B24" s="56"/>
      <c r="G24" s="57"/>
      <c r="H24" s="57"/>
      <c r="I24" s="57"/>
      <c r="J24" s="57"/>
      <c r="K24" s="57"/>
      <c r="L24" s="57"/>
    </row>
    <row r="25" spans="1:12" s="51" customFormat="1" x14ac:dyDescent="0.25">
      <c r="A25" s="55"/>
      <c r="B25" s="56"/>
      <c r="G25" s="57"/>
      <c r="H25" s="57"/>
      <c r="I25" s="57"/>
      <c r="J25" s="57"/>
      <c r="K25" s="57"/>
      <c r="L25" s="57"/>
    </row>
    <row r="26" spans="1:12" s="51" customFormat="1" x14ac:dyDescent="0.25">
      <c r="A26" s="55"/>
      <c r="B26" s="56"/>
      <c r="G26" s="57"/>
      <c r="H26" s="57"/>
      <c r="I26" s="57"/>
      <c r="J26" s="57"/>
      <c r="K26" s="57"/>
      <c r="L26" s="57"/>
    </row>
    <row r="27" spans="1:12" s="51" customFormat="1" x14ac:dyDescent="0.25">
      <c r="A27" s="55"/>
      <c r="B27" s="56"/>
      <c r="G27" s="57"/>
      <c r="H27" s="57"/>
      <c r="I27" s="57"/>
      <c r="J27" s="57"/>
      <c r="K27" s="57"/>
      <c r="L27" s="57"/>
    </row>
    <row r="28" spans="1:12" s="51" customFormat="1" x14ac:dyDescent="0.25">
      <c r="A28" s="55"/>
      <c r="B28" s="56"/>
      <c r="G28" s="57"/>
      <c r="H28" s="57"/>
      <c r="I28" s="57"/>
      <c r="J28" s="57"/>
      <c r="K28" s="57"/>
      <c r="L28" s="57"/>
    </row>
    <row r="29" spans="1:12" s="51" customFormat="1" x14ac:dyDescent="0.25">
      <c r="A29" s="55"/>
      <c r="B29" s="56"/>
      <c r="G29" s="57"/>
      <c r="H29" s="57"/>
      <c r="I29" s="57"/>
      <c r="J29" s="57"/>
      <c r="K29" s="57"/>
      <c r="L29" s="57"/>
    </row>
    <row r="30" spans="1:12" s="51" customFormat="1" x14ac:dyDescent="0.25">
      <c r="A30" s="55"/>
      <c r="B30" s="56"/>
      <c r="G30" s="57"/>
      <c r="H30" s="57"/>
      <c r="I30" s="57"/>
      <c r="J30" s="57"/>
      <c r="K30" s="57"/>
      <c r="L30" s="57"/>
    </row>
    <row r="31" spans="1:12" s="51" customFormat="1" x14ac:dyDescent="0.25">
      <c r="A31" s="55"/>
      <c r="B31" s="56"/>
      <c r="G31" s="57"/>
      <c r="H31" s="57"/>
      <c r="I31" s="57"/>
      <c r="J31" s="57"/>
      <c r="K31" s="57"/>
      <c r="L31" s="57"/>
    </row>
    <row r="32" spans="1:12" s="51" customFormat="1" x14ac:dyDescent="0.25">
      <c r="A32" s="55"/>
      <c r="G32" s="57"/>
      <c r="H32" s="57"/>
      <c r="I32" s="57"/>
      <c r="J32" s="57"/>
      <c r="K32" s="57"/>
      <c r="L32" s="57"/>
    </row>
    <row r="33" spans="1:12" s="51" customFormat="1" x14ac:dyDescent="0.25">
      <c r="A33" s="55"/>
      <c r="G33" s="57"/>
      <c r="H33" s="57"/>
      <c r="I33" s="57"/>
      <c r="J33" s="57"/>
      <c r="K33" s="57"/>
      <c r="L33" s="57"/>
    </row>
    <row r="34" spans="1:12" s="51" customFormat="1" x14ac:dyDescent="0.25">
      <c r="A34" s="55"/>
      <c r="G34" s="57"/>
      <c r="H34" s="57"/>
      <c r="I34" s="57"/>
      <c r="J34" s="57"/>
      <c r="K34" s="57"/>
      <c r="L34" s="57"/>
    </row>
    <row r="35" spans="1:12" s="51" customFormat="1" x14ac:dyDescent="0.25">
      <c r="A35" s="47"/>
      <c r="B35" s="50"/>
      <c r="C35" s="32"/>
      <c r="D35" s="32"/>
      <c r="E35" s="32"/>
      <c r="F35" s="32"/>
      <c r="G35" s="48"/>
      <c r="H35" s="48"/>
      <c r="I35" s="48"/>
      <c r="J35" s="48"/>
      <c r="K35" s="48"/>
      <c r="L35" s="48"/>
    </row>
    <row r="36" spans="1:12" s="51" customFormat="1" x14ac:dyDescent="0.25">
      <c r="A36" s="47"/>
      <c r="B36" s="50"/>
      <c r="C36" s="32"/>
      <c r="D36" s="32"/>
      <c r="E36" s="32"/>
      <c r="F36" s="32"/>
      <c r="G36" s="48"/>
      <c r="H36" s="48"/>
      <c r="I36" s="48"/>
      <c r="J36" s="48"/>
      <c r="K36" s="48"/>
      <c r="L36" s="48"/>
    </row>
    <row r="37" spans="1:12" s="51" customFormat="1" x14ac:dyDescent="0.25">
      <c r="A37" s="47"/>
      <c r="B37" s="50"/>
      <c r="C37" s="32"/>
      <c r="D37" s="32"/>
      <c r="E37" s="32"/>
      <c r="F37" s="32"/>
      <c r="G37" s="48"/>
      <c r="H37" s="48"/>
      <c r="I37" s="48"/>
      <c r="J37" s="48"/>
      <c r="K37" s="48"/>
      <c r="L37" s="48"/>
    </row>
    <row r="38" spans="1:12" s="51" customFormat="1" x14ac:dyDescent="0.25">
      <c r="A38" s="47"/>
      <c r="B38" s="50"/>
      <c r="C38" s="32"/>
      <c r="D38" s="32"/>
      <c r="E38" s="32"/>
      <c r="F38" s="32"/>
      <c r="G38" s="48"/>
      <c r="H38" s="48"/>
      <c r="I38" s="48"/>
      <c r="J38" s="48"/>
      <c r="K38" s="48"/>
      <c r="L38" s="48"/>
    </row>
    <row r="39" spans="1:12" s="51" customFormat="1" x14ac:dyDescent="0.25">
      <c r="A39" s="55"/>
      <c r="G39" s="57"/>
      <c r="H39" s="57"/>
      <c r="I39" s="57"/>
      <c r="J39" s="57"/>
      <c r="K39" s="57"/>
      <c r="L39" s="57"/>
    </row>
    <row r="40" spans="1:12" s="51" customFormat="1" x14ac:dyDescent="0.25">
      <c r="A40" s="55"/>
      <c r="G40" s="57"/>
      <c r="H40" s="57"/>
      <c r="I40" s="57"/>
      <c r="J40" s="57"/>
      <c r="K40" s="57"/>
      <c r="L40" s="57"/>
    </row>
    <row r="41" spans="1:12" s="51" customFormat="1" x14ac:dyDescent="0.25">
      <c r="A41" s="55"/>
      <c r="B41" s="56"/>
      <c r="G41" s="57"/>
      <c r="H41" s="57"/>
      <c r="I41" s="57"/>
      <c r="J41" s="57"/>
      <c r="K41" s="57"/>
      <c r="L41" s="57"/>
    </row>
    <row r="42" spans="1:12" s="51" customFormat="1" x14ac:dyDescent="0.25">
      <c r="A42" s="55"/>
      <c r="B42" s="56"/>
      <c r="G42" s="57"/>
      <c r="H42" s="57"/>
      <c r="I42" s="57"/>
      <c r="J42" s="57"/>
      <c r="K42" s="57"/>
      <c r="L42" s="57"/>
    </row>
    <row r="43" spans="1:12" s="51" customFormat="1" x14ac:dyDescent="0.25">
      <c r="A43" s="55"/>
      <c r="B43" s="56"/>
      <c r="G43" s="57"/>
      <c r="H43" s="57"/>
      <c r="I43" s="57"/>
      <c r="J43" s="57"/>
      <c r="K43" s="57"/>
      <c r="L43" s="57"/>
    </row>
    <row r="44" spans="1:12" s="51" customFormat="1" x14ac:dyDescent="0.25">
      <c r="A44" s="55"/>
      <c r="B44" s="56"/>
      <c r="G44" s="57"/>
      <c r="H44" s="57"/>
      <c r="I44" s="57"/>
      <c r="J44" s="57"/>
      <c r="K44" s="57"/>
      <c r="L44" s="57"/>
    </row>
    <row r="45" spans="1:12" s="51" customFormat="1" x14ac:dyDescent="0.25">
      <c r="A45" s="55"/>
      <c r="B45" s="56"/>
      <c r="G45" s="57"/>
      <c r="H45" s="57"/>
      <c r="I45" s="57"/>
      <c r="J45" s="57"/>
      <c r="K45" s="57"/>
      <c r="L45" s="57"/>
    </row>
    <row r="46" spans="1:12" s="51" customFormat="1" x14ac:dyDescent="0.25">
      <c r="A46" s="55"/>
      <c r="B46" s="56"/>
      <c r="G46" s="57"/>
      <c r="H46" s="57"/>
      <c r="I46" s="57"/>
      <c r="J46" s="57"/>
      <c r="K46" s="57"/>
      <c r="L46" s="57"/>
    </row>
    <row r="47" spans="1:12" s="51" customFormat="1" x14ac:dyDescent="0.25">
      <c r="A47" s="55"/>
      <c r="B47" s="56"/>
      <c r="G47" s="57"/>
      <c r="H47" s="57"/>
      <c r="I47" s="57"/>
      <c r="J47" s="57"/>
      <c r="K47" s="57"/>
      <c r="L47" s="57"/>
    </row>
    <row r="48" spans="1:12" s="51" customFormat="1" x14ac:dyDescent="0.25">
      <c r="A48" s="55"/>
      <c r="B48" s="56"/>
      <c r="G48" s="57"/>
      <c r="H48" s="57"/>
      <c r="I48" s="57"/>
      <c r="J48" s="57"/>
      <c r="K48" s="57"/>
      <c r="L48" s="57"/>
    </row>
    <row r="49" spans="1:12" s="51" customFormat="1" x14ac:dyDescent="0.25">
      <c r="A49" s="55"/>
      <c r="B49" s="56"/>
      <c r="G49" s="57"/>
      <c r="H49" s="57"/>
      <c r="I49" s="57"/>
      <c r="J49" s="57"/>
      <c r="K49" s="57"/>
      <c r="L49" s="57"/>
    </row>
    <row r="50" spans="1:12" s="51" customFormat="1" x14ac:dyDescent="0.25">
      <c r="A50" s="55"/>
      <c r="G50" s="57"/>
      <c r="H50" s="57"/>
      <c r="I50" s="57"/>
      <c r="J50" s="57"/>
      <c r="K50" s="57"/>
      <c r="L50" s="57"/>
    </row>
    <row r="51" spans="1:12" s="51" customFormat="1" x14ac:dyDescent="0.25">
      <c r="A51" s="55"/>
      <c r="G51" s="57"/>
      <c r="H51" s="57"/>
      <c r="I51" s="57"/>
      <c r="J51" s="57"/>
      <c r="K51" s="57"/>
      <c r="L51" s="57"/>
    </row>
    <row r="52" spans="1:12" s="51" customFormat="1" x14ac:dyDescent="0.25">
      <c r="A52" s="55"/>
      <c r="B52" s="56"/>
      <c r="G52" s="57"/>
      <c r="H52" s="57"/>
      <c r="I52" s="57"/>
      <c r="J52" s="57"/>
      <c r="K52" s="57"/>
      <c r="L52" s="57"/>
    </row>
    <row r="53" spans="1:12" s="51" customFormat="1" x14ac:dyDescent="0.25">
      <c r="A53" s="55"/>
      <c r="B53" s="56"/>
      <c r="G53" s="57"/>
      <c r="H53" s="57"/>
      <c r="I53" s="57"/>
      <c r="J53" s="57"/>
      <c r="K53" s="57"/>
      <c r="L53" s="57"/>
    </row>
    <row r="54" spans="1:12" s="51" customFormat="1" x14ac:dyDescent="0.25">
      <c r="A54" s="55"/>
      <c r="B54" s="56"/>
      <c r="G54" s="57"/>
      <c r="H54" s="57"/>
      <c r="I54" s="57"/>
      <c r="J54" s="57"/>
      <c r="K54" s="57"/>
      <c r="L54" s="57"/>
    </row>
    <row r="55" spans="1:12" s="51" customFormat="1" x14ac:dyDescent="0.25">
      <c r="A55" s="55"/>
      <c r="B55" s="56"/>
      <c r="G55" s="57"/>
      <c r="H55" s="57"/>
      <c r="I55" s="57"/>
      <c r="J55" s="57"/>
      <c r="K55" s="57"/>
      <c r="L55" s="57"/>
    </row>
    <row r="56" spans="1:12" s="51" customFormat="1" x14ac:dyDescent="0.25">
      <c r="A56" s="55"/>
      <c r="B56" s="56"/>
      <c r="G56" s="57"/>
      <c r="H56" s="57"/>
      <c r="I56" s="57"/>
      <c r="J56" s="57"/>
      <c r="K56" s="57"/>
      <c r="L56" s="57"/>
    </row>
    <row r="57" spans="1:12" s="51" customFormat="1" x14ac:dyDescent="0.25">
      <c r="A57" s="55"/>
      <c r="B57" s="56"/>
      <c r="G57" s="57"/>
      <c r="H57" s="57"/>
      <c r="I57" s="57"/>
      <c r="J57" s="57"/>
      <c r="K57" s="57"/>
      <c r="L57" s="57"/>
    </row>
    <row r="58" spans="1:12" s="51" customFormat="1" x14ac:dyDescent="0.25">
      <c r="A58" s="55"/>
      <c r="B58" s="56"/>
      <c r="G58" s="57"/>
      <c r="H58" s="57"/>
      <c r="I58" s="57"/>
      <c r="J58" s="57"/>
      <c r="K58" s="57"/>
      <c r="L58" s="57"/>
    </row>
    <row r="59" spans="1:12" s="51" customFormat="1" x14ac:dyDescent="0.25">
      <c r="A59" s="55"/>
      <c r="G59" s="57"/>
      <c r="H59" s="57"/>
      <c r="I59" s="57"/>
      <c r="J59" s="57"/>
      <c r="K59" s="57"/>
      <c r="L59" s="57"/>
    </row>
    <row r="60" spans="1:12" s="51" customFormat="1" x14ac:dyDescent="0.25">
      <c r="A60" s="55"/>
      <c r="G60" s="57"/>
      <c r="H60" s="57"/>
      <c r="I60" s="57"/>
      <c r="J60" s="57"/>
      <c r="K60" s="57"/>
      <c r="L60" s="57"/>
    </row>
    <row r="61" spans="1:12" s="51" customFormat="1" x14ac:dyDescent="0.25">
      <c r="A61" s="55"/>
      <c r="B61" s="56"/>
      <c r="G61" s="57"/>
      <c r="H61" s="57"/>
      <c r="I61" s="57"/>
      <c r="J61" s="57"/>
      <c r="K61" s="57"/>
      <c r="L61" s="57"/>
    </row>
    <row r="62" spans="1:12" s="51" customFormat="1" x14ac:dyDescent="0.25">
      <c r="A62" s="55"/>
      <c r="B62" s="56"/>
      <c r="G62" s="57"/>
      <c r="H62" s="57"/>
      <c r="I62" s="57"/>
      <c r="J62" s="57"/>
      <c r="K62" s="57"/>
      <c r="L62" s="57"/>
    </row>
    <row r="63" spans="1:12" s="51" customFormat="1" x14ac:dyDescent="0.25">
      <c r="A63" s="55"/>
      <c r="B63" s="56"/>
      <c r="G63" s="57"/>
      <c r="H63" s="57"/>
      <c r="I63" s="57"/>
      <c r="J63" s="57"/>
      <c r="K63" s="57"/>
      <c r="L63" s="57"/>
    </row>
    <row r="64" spans="1:12" s="51" customFormat="1" x14ac:dyDescent="0.25">
      <c r="A64" s="55"/>
      <c r="G64" s="57"/>
      <c r="H64" s="57"/>
      <c r="I64" s="57"/>
      <c r="J64" s="57"/>
      <c r="K64" s="57"/>
      <c r="L64" s="57"/>
    </row>
    <row r="65" spans="1:12" s="51" customFormat="1" x14ac:dyDescent="0.25">
      <c r="A65" s="55"/>
      <c r="G65" s="57"/>
      <c r="H65" s="57"/>
      <c r="I65" s="57"/>
      <c r="J65" s="57"/>
      <c r="K65" s="57"/>
      <c r="L65" s="57"/>
    </row>
    <row r="66" spans="1:12" s="51" customFormat="1" x14ac:dyDescent="0.25">
      <c r="A66" s="55"/>
      <c r="B66" s="56"/>
      <c r="G66" s="57"/>
      <c r="H66" s="57"/>
      <c r="I66" s="57"/>
      <c r="J66" s="57"/>
      <c r="K66" s="57"/>
      <c r="L66" s="57"/>
    </row>
    <row r="67" spans="1:12" s="51" customFormat="1" x14ac:dyDescent="0.25">
      <c r="A67" s="55"/>
      <c r="B67" s="56"/>
      <c r="G67" s="57"/>
      <c r="H67" s="57"/>
      <c r="I67" s="57"/>
      <c r="J67" s="57"/>
      <c r="K67" s="57"/>
      <c r="L67" s="57"/>
    </row>
    <row r="68" spans="1:12" s="51" customFormat="1" x14ac:dyDescent="0.25">
      <c r="A68" s="55"/>
      <c r="B68" s="56"/>
      <c r="G68" s="57"/>
      <c r="H68" s="57"/>
      <c r="I68" s="57"/>
      <c r="J68" s="57"/>
      <c r="K68" s="57"/>
      <c r="L68" s="57"/>
    </row>
    <row r="69" spans="1:12" s="51" customFormat="1" x14ac:dyDescent="0.25">
      <c r="A69" s="55"/>
      <c r="G69" s="57"/>
      <c r="H69" s="57"/>
      <c r="I69" s="57"/>
      <c r="J69" s="57"/>
      <c r="K69" s="57"/>
      <c r="L69" s="57"/>
    </row>
    <row r="70" spans="1:12" s="51" customFormat="1" x14ac:dyDescent="0.25">
      <c r="A70" s="55"/>
      <c r="G70" s="57"/>
      <c r="H70" s="57"/>
      <c r="I70" s="57"/>
      <c r="J70" s="57"/>
      <c r="K70" s="57"/>
      <c r="L70" s="57"/>
    </row>
    <row r="71" spans="1:12" s="51" customFormat="1" x14ac:dyDescent="0.25">
      <c r="A71" s="55"/>
      <c r="B71" s="56"/>
      <c r="G71" s="57"/>
      <c r="H71" s="57"/>
      <c r="I71" s="57"/>
      <c r="J71" s="57"/>
      <c r="K71" s="57"/>
      <c r="L71" s="57"/>
    </row>
    <row r="72" spans="1:12" s="51" customFormat="1" x14ac:dyDescent="0.25">
      <c r="A72" s="55"/>
      <c r="B72" s="56"/>
      <c r="G72" s="57"/>
      <c r="H72" s="57"/>
      <c r="I72" s="57"/>
      <c r="J72" s="57"/>
      <c r="K72" s="57"/>
      <c r="L72" s="57"/>
    </row>
    <row r="73" spans="1:12" s="51" customFormat="1" x14ac:dyDescent="0.25">
      <c r="A73" s="55"/>
      <c r="B73" s="56"/>
      <c r="G73" s="57"/>
      <c r="H73" s="57"/>
      <c r="I73" s="57"/>
      <c r="J73" s="57"/>
      <c r="K73" s="57"/>
      <c r="L73" s="57"/>
    </row>
    <row r="74" spans="1:12" s="51" customFormat="1" x14ac:dyDescent="0.25">
      <c r="A74" s="55"/>
      <c r="B74" s="56"/>
      <c r="G74" s="57"/>
      <c r="H74" s="57"/>
      <c r="I74" s="57"/>
      <c r="J74" s="57"/>
      <c r="K74" s="57"/>
      <c r="L74" s="57"/>
    </row>
    <row r="75" spans="1:12" s="51" customFormat="1" x14ac:dyDescent="0.25">
      <c r="A75" s="55"/>
      <c r="B75" s="56"/>
      <c r="G75" s="57"/>
      <c r="H75" s="57"/>
      <c r="I75" s="57"/>
      <c r="J75" s="57"/>
      <c r="K75" s="57"/>
      <c r="L75" s="57"/>
    </row>
    <row r="76" spans="1:12" s="51" customFormat="1" x14ac:dyDescent="0.25">
      <c r="A76" s="55"/>
      <c r="B76" s="56"/>
      <c r="G76" s="57"/>
      <c r="H76" s="57"/>
      <c r="I76" s="57"/>
      <c r="J76" s="57"/>
      <c r="K76" s="57"/>
      <c r="L76" s="57"/>
    </row>
    <row r="77" spans="1:12" s="51" customFormat="1" x14ac:dyDescent="0.25">
      <c r="A77" s="55"/>
      <c r="B77" s="56"/>
      <c r="G77" s="57"/>
      <c r="H77" s="57"/>
      <c r="I77" s="57"/>
      <c r="J77" s="57"/>
      <c r="K77" s="57"/>
      <c r="L77" s="57"/>
    </row>
    <row r="78" spans="1:12" s="51" customFormat="1" x14ac:dyDescent="0.25">
      <c r="A78" s="55"/>
      <c r="B78" s="56"/>
      <c r="G78" s="57"/>
      <c r="H78" s="57"/>
      <c r="I78" s="57"/>
      <c r="J78" s="57"/>
      <c r="K78" s="57"/>
      <c r="L78" s="57"/>
    </row>
    <row r="79" spans="1:12" s="51" customFormat="1" x14ac:dyDescent="0.25">
      <c r="A79" s="55"/>
      <c r="B79" s="56"/>
      <c r="G79" s="57"/>
      <c r="H79" s="57"/>
      <c r="I79" s="57"/>
      <c r="J79" s="57"/>
      <c r="K79" s="57"/>
      <c r="L79" s="57"/>
    </row>
    <row r="80" spans="1:12" s="51" customFormat="1" x14ac:dyDescent="0.25">
      <c r="A80" s="55"/>
      <c r="B80" s="56"/>
      <c r="G80" s="57"/>
      <c r="H80" s="57"/>
      <c r="I80" s="57"/>
      <c r="J80" s="57"/>
      <c r="K80" s="57"/>
      <c r="L80" s="57"/>
    </row>
    <row r="81" spans="1:12" s="51" customFormat="1" x14ac:dyDescent="0.25">
      <c r="A81" s="55"/>
      <c r="B81" s="56"/>
      <c r="G81" s="57"/>
      <c r="H81" s="57"/>
      <c r="I81" s="57"/>
      <c r="J81" s="57"/>
      <c r="K81" s="57"/>
      <c r="L81" s="57"/>
    </row>
    <row r="82" spans="1:12" s="51" customFormat="1" x14ac:dyDescent="0.25">
      <c r="A82" s="55"/>
      <c r="B82" s="56"/>
      <c r="G82" s="57"/>
      <c r="H82" s="57"/>
      <c r="I82" s="57"/>
      <c r="J82" s="57"/>
      <c r="K82" s="57"/>
      <c r="L82" s="57"/>
    </row>
    <row r="83" spans="1:12" s="19" customFormat="1" x14ac:dyDescent="0.25">
      <c r="A83" s="52"/>
      <c r="B83" s="53"/>
      <c r="G83" s="54"/>
      <c r="H83" s="54"/>
      <c r="I83" s="54"/>
      <c r="J83" s="54"/>
      <c r="K83" s="54"/>
      <c r="L83" s="54"/>
    </row>
    <row r="84" spans="1:12" s="19" customFormat="1" x14ac:dyDescent="0.25">
      <c r="A84" s="52"/>
      <c r="B84" s="53"/>
      <c r="G84" s="54"/>
      <c r="H84" s="54"/>
      <c r="I84" s="54"/>
      <c r="J84" s="54"/>
      <c r="K84" s="54"/>
      <c r="L84" s="54"/>
    </row>
    <row r="85" spans="1:12" s="51" customFormat="1" x14ac:dyDescent="0.25">
      <c r="A85" s="55"/>
      <c r="B85" s="56"/>
      <c r="G85" s="57"/>
      <c r="H85" s="57"/>
      <c r="I85" s="57"/>
      <c r="J85" s="57"/>
      <c r="K85" s="57"/>
      <c r="L85" s="57"/>
    </row>
    <row r="86" spans="1:12" s="51" customFormat="1" x14ac:dyDescent="0.25">
      <c r="A86" s="55"/>
      <c r="B86" s="56"/>
      <c r="G86" s="57"/>
      <c r="H86" s="57"/>
      <c r="I86" s="57"/>
      <c r="J86" s="57"/>
      <c r="K86" s="57"/>
      <c r="L86" s="57"/>
    </row>
    <row r="87" spans="1:12" x14ac:dyDescent="0.25">
      <c r="B87" s="40"/>
    </row>
    <row r="88" spans="1:12" x14ac:dyDescent="0.25">
      <c r="B88" s="40"/>
    </row>
    <row r="89" spans="1:12" x14ac:dyDescent="0.25">
      <c r="B89" s="40"/>
    </row>
    <row r="90" spans="1:12" x14ac:dyDescent="0.25">
      <c r="B90" s="40"/>
    </row>
    <row r="91" spans="1:12" x14ac:dyDescent="0.25">
      <c r="B91" s="40"/>
    </row>
    <row r="92" spans="1:12" x14ac:dyDescent="0.25">
      <c r="B92" s="40"/>
    </row>
    <row r="93" spans="1:12" x14ac:dyDescent="0.25">
      <c r="B93" s="40"/>
    </row>
    <row r="94" spans="1:12" x14ac:dyDescent="0.25">
      <c r="B94" s="40"/>
    </row>
    <row r="95" spans="1:12" x14ac:dyDescent="0.25">
      <c r="B95" s="40"/>
    </row>
    <row r="96" spans="1:12" x14ac:dyDescent="0.25">
      <c r="B96" s="40"/>
    </row>
    <row r="97" spans="2:2" x14ac:dyDescent="0.25">
      <c r="B97" s="40"/>
    </row>
    <row r="98" spans="2:2" x14ac:dyDescent="0.25">
      <c r="B98" s="40"/>
    </row>
    <row r="99" spans="2:2" x14ac:dyDescent="0.25">
      <c r="B99" s="40"/>
    </row>
    <row r="100" spans="2:2" x14ac:dyDescent="0.25">
      <c r="B100" s="40"/>
    </row>
    <row r="101" spans="2:2" x14ac:dyDescent="0.25">
      <c r="B101" s="40"/>
    </row>
    <row r="102" spans="2:2" x14ac:dyDescent="0.25">
      <c r="B102" s="40"/>
    </row>
    <row r="103" spans="2:2" x14ac:dyDescent="0.25">
      <c r="B103" s="40"/>
    </row>
    <row r="104" spans="2:2" x14ac:dyDescent="0.25">
      <c r="B104" s="40"/>
    </row>
    <row r="105" spans="2:2" x14ac:dyDescent="0.25">
      <c r="B105" s="40"/>
    </row>
    <row r="106" spans="2:2" x14ac:dyDescent="0.25">
      <c r="B106" s="40"/>
    </row>
    <row r="107" spans="2:2" x14ac:dyDescent="0.25">
      <c r="B107" s="40"/>
    </row>
    <row r="108" spans="2:2" x14ac:dyDescent="0.25">
      <c r="B108" s="40"/>
    </row>
    <row r="109" spans="2:2" x14ac:dyDescent="0.25">
      <c r="B109" s="40"/>
    </row>
    <row r="110" spans="2:2" x14ac:dyDescent="0.25">
      <c r="B110" s="40"/>
    </row>
    <row r="111" spans="2:2" x14ac:dyDescent="0.25">
      <c r="B111" s="40"/>
    </row>
    <row r="112" spans="2:2" x14ac:dyDescent="0.25">
      <c r="B112" s="40"/>
    </row>
    <row r="113" spans="2:2" x14ac:dyDescent="0.25">
      <c r="B113" s="40"/>
    </row>
    <row r="114" spans="2:2" x14ac:dyDescent="0.25">
      <c r="B114" s="40"/>
    </row>
    <row r="115" spans="2:2" x14ac:dyDescent="0.25">
      <c r="B115" s="40"/>
    </row>
    <row r="116" spans="2:2" x14ac:dyDescent="0.25">
      <c r="B116" s="40"/>
    </row>
    <row r="117" spans="2:2" x14ac:dyDescent="0.25">
      <c r="B117" s="40"/>
    </row>
    <row r="118" spans="2:2" x14ac:dyDescent="0.25">
      <c r="B118" s="40"/>
    </row>
    <row r="119" spans="2:2" x14ac:dyDescent="0.25">
      <c r="B119" s="40"/>
    </row>
    <row r="120" spans="2:2" x14ac:dyDescent="0.25">
      <c r="B120" s="40"/>
    </row>
    <row r="121" spans="2:2" x14ac:dyDescent="0.25">
      <c r="B121" s="40"/>
    </row>
    <row r="122" spans="2:2" x14ac:dyDescent="0.25">
      <c r="B122" s="40"/>
    </row>
    <row r="123" spans="2:2" x14ac:dyDescent="0.25">
      <c r="B123" s="40"/>
    </row>
    <row r="124" spans="2:2" x14ac:dyDescent="0.25">
      <c r="B124" s="40"/>
    </row>
    <row r="125" spans="2:2" x14ac:dyDescent="0.25">
      <c r="B125" s="40"/>
    </row>
    <row r="126" spans="2:2" x14ac:dyDescent="0.25">
      <c r="B126" s="40"/>
    </row>
    <row r="127" spans="2:2" x14ac:dyDescent="0.25">
      <c r="B127" s="40"/>
    </row>
    <row r="128" spans="2:2" x14ac:dyDescent="0.25">
      <c r="B128" s="40"/>
    </row>
    <row r="129" spans="2:2" x14ac:dyDescent="0.25">
      <c r="B129" s="40"/>
    </row>
    <row r="130" spans="2:2" x14ac:dyDescent="0.25">
      <c r="B130" s="40"/>
    </row>
    <row r="131" spans="2:2" x14ac:dyDescent="0.25">
      <c r="B131" s="40"/>
    </row>
    <row r="132" spans="2:2" x14ac:dyDescent="0.25">
      <c r="B132" s="40"/>
    </row>
    <row r="133" spans="2:2" x14ac:dyDescent="0.25">
      <c r="B133" s="40"/>
    </row>
    <row r="134" spans="2:2" x14ac:dyDescent="0.25">
      <c r="B134" s="40"/>
    </row>
    <row r="135" spans="2:2" x14ac:dyDescent="0.25">
      <c r="B135" s="40"/>
    </row>
    <row r="136" spans="2:2" x14ac:dyDescent="0.25">
      <c r="B136" s="40"/>
    </row>
    <row r="137" spans="2:2" x14ac:dyDescent="0.25">
      <c r="B137" s="40"/>
    </row>
    <row r="138" spans="2:2" x14ac:dyDescent="0.25">
      <c r="B138" s="40"/>
    </row>
    <row r="139" spans="2:2" x14ac:dyDescent="0.25">
      <c r="B139" s="40"/>
    </row>
    <row r="140" spans="2:2" x14ac:dyDescent="0.25">
      <c r="B140" s="40"/>
    </row>
    <row r="141" spans="2:2" x14ac:dyDescent="0.25">
      <c r="B141" s="40"/>
    </row>
    <row r="142" spans="2:2" x14ac:dyDescent="0.25">
      <c r="B142" s="40"/>
    </row>
    <row r="143" spans="2:2" x14ac:dyDescent="0.25">
      <c r="B143" s="40"/>
    </row>
    <row r="144" spans="2:2" x14ac:dyDescent="0.25">
      <c r="B144" s="40"/>
    </row>
    <row r="145" spans="2:2" x14ac:dyDescent="0.25">
      <c r="B145" s="40"/>
    </row>
    <row r="146" spans="2:2" x14ac:dyDescent="0.25">
      <c r="B146" s="40"/>
    </row>
    <row r="147" spans="2:2" x14ac:dyDescent="0.25">
      <c r="B147" s="40"/>
    </row>
    <row r="148" spans="2:2" x14ac:dyDescent="0.25">
      <c r="B148" s="40"/>
    </row>
    <row r="149" spans="2:2" x14ac:dyDescent="0.25">
      <c r="B149" s="40"/>
    </row>
    <row r="150" spans="2:2" x14ac:dyDescent="0.25">
      <c r="B150" s="40"/>
    </row>
    <row r="151" spans="2:2" x14ac:dyDescent="0.25">
      <c r="B151" s="40"/>
    </row>
    <row r="152" spans="2:2" x14ac:dyDescent="0.25">
      <c r="B152" s="40"/>
    </row>
    <row r="153" spans="2:2" x14ac:dyDescent="0.25">
      <c r="B153" s="40"/>
    </row>
    <row r="154" spans="2:2" x14ac:dyDescent="0.25">
      <c r="B154" s="40"/>
    </row>
    <row r="155" spans="2:2" x14ac:dyDescent="0.25">
      <c r="B155" s="40"/>
    </row>
    <row r="156" spans="2:2" x14ac:dyDescent="0.25">
      <c r="B156" s="40"/>
    </row>
    <row r="157" spans="2:2" x14ac:dyDescent="0.25">
      <c r="B157" s="40"/>
    </row>
    <row r="158" spans="2:2" x14ac:dyDescent="0.25">
      <c r="B158" s="40"/>
    </row>
    <row r="159" spans="2:2" x14ac:dyDescent="0.25">
      <c r="B159" s="40"/>
    </row>
    <row r="160" spans="2:2" x14ac:dyDescent="0.25">
      <c r="B160" s="40"/>
    </row>
    <row r="161" spans="2:13" x14ac:dyDescent="0.25">
      <c r="B161" s="40"/>
    </row>
    <row r="162" spans="2:13" x14ac:dyDescent="0.25">
      <c r="B162" s="40"/>
    </row>
    <row r="163" spans="2:13" x14ac:dyDescent="0.25">
      <c r="B163" s="40"/>
    </row>
    <row r="164" spans="2:13" x14ac:dyDescent="0.25">
      <c r="B164" s="40"/>
    </row>
    <row r="167" spans="2:13" x14ac:dyDescent="0.25">
      <c r="B167" s="40"/>
    </row>
    <row r="168" spans="2:13" x14ac:dyDescent="0.25">
      <c r="B168" s="40"/>
    </row>
    <row r="169" spans="2:13" x14ac:dyDescent="0.25">
      <c r="B169" s="40"/>
    </row>
    <row r="170" spans="2:13" x14ac:dyDescent="0.25">
      <c r="B170" s="40"/>
    </row>
    <row r="171" spans="2:13" x14ac:dyDescent="0.25">
      <c r="B171" s="40"/>
      <c r="M171" t="s">
        <v>282</v>
      </c>
    </row>
    <row r="172" spans="2:13" x14ac:dyDescent="0.25">
      <c r="B172" s="40"/>
    </row>
    <row r="173" spans="2:13" x14ac:dyDescent="0.25">
      <c r="B173" s="40"/>
    </row>
    <row r="174" spans="2:13" x14ac:dyDescent="0.25">
      <c r="B174" s="40"/>
    </row>
    <row r="175" spans="2:13" x14ac:dyDescent="0.25">
      <c r="B175" s="40"/>
    </row>
    <row r="176" spans="2:13" x14ac:dyDescent="0.25">
      <c r="B176" s="40"/>
    </row>
    <row r="177" spans="2:2" x14ac:dyDescent="0.25">
      <c r="B177" s="40"/>
    </row>
    <row r="178" spans="2:2" x14ac:dyDescent="0.25">
      <c r="B178" s="40"/>
    </row>
    <row r="179" spans="2:2" x14ac:dyDescent="0.25">
      <c r="B179" s="40"/>
    </row>
    <row r="180" spans="2:2" x14ac:dyDescent="0.25">
      <c r="B180" s="40"/>
    </row>
    <row r="181" spans="2:2" x14ac:dyDescent="0.25">
      <c r="B181" s="40"/>
    </row>
    <row r="182" spans="2:2" x14ac:dyDescent="0.25">
      <c r="B182" s="40"/>
    </row>
    <row r="183" spans="2:2" x14ac:dyDescent="0.25">
      <c r="B183" s="40"/>
    </row>
    <row r="184" spans="2:2" x14ac:dyDescent="0.25">
      <c r="B184" s="40"/>
    </row>
    <row r="185" spans="2:2" x14ac:dyDescent="0.25">
      <c r="B185" s="40"/>
    </row>
    <row r="186" spans="2:2" x14ac:dyDescent="0.25">
      <c r="B186" s="40"/>
    </row>
    <row r="187" spans="2:2" x14ac:dyDescent="0.25">
      <c r="B187" s="40"/>
    </row>
    <row r="188" spans="2:2" x14ac:dyDescent="0.25">
      <c r="B188" s="40"/>
    </row>
    <row r="189" spans="2:2" x14ac:dyDescent="0.25">
      <c r="B189" s="40"/>
    </row>
    <row r="190" spans="2:2" x14ac:dyDescent="0.25">
      <c r="B190" s="40"/>
    </row>
    <row r="191" spans="2:2" x14ac:dyDescent="0.25">
      <c r="B191" s="40"/>
    </row>
    <row r="192" spans="2:2" x14ac:dyDescent="0.25">
      <c r="B192" s="40"/>
    </row>
    <row r="193" spans="2:2" x14ac:dyDescent="0.25">
      <c r="B193" s="40"/>
    </row>
    <row r="194" spans="2:2" x14ac:dyDescent="0.25">
      <c r="B194" s="40"/>
    </row>
    <row r="195" spans="2:2" x14ac:dyDescent="0.25">
      <c r="B195" s="40"/>
    </row>
    <row r="196" spans="2:2" x14ac:dyDescent="0.25">
      <c r="B196" s="40"/>
    </row>
    <row r="197" spans="2:2" x14ac:dyDescent="0.25">
      <c r="B197" s="40"/>
    </row>
    <row r="198" spans="2:2" x14ac:dyDescent="0.25">
      <c r="B198" s="40"/>
    </row>
    <row r="199" spans="2:2" x14ac:dyDescent="0.25">
      <c r="B199" s="40"/>
    </row>
    <row r="200" spans="2:2" x14ac:dyDescent="0.25">
      <c r="B200" s="40"/>
    </row>
    <row r="201" spans="2:2" x14ac:dyDescent="0.25">
      <c r="B201" s="40"/>
    </row>
    <row r="202" spans="2:2" x14ac:dyDescent="0.25">
      <c r="B202" s="40"/>
    </row>
    <row r="203" spans="2:2" x14ac:dyDescent="0.25">
      <c r="B203" s="40"/>
    </row>
    <row r="204" spans="2:2" x14ac:dyDescent="0.25">
      <c r="B204" s="40"/>
    </row>
    <row r="205" spans="2:2" x14ac:dyDescent="0.25">
      <c r="B205" s="40"/>
    </row>
    <row r="206" spans="2:2" x14ac:dyDescent="0.25">
      <c r="B206" s="40"/>
    </row>
    <row r="207" spans="2:2" x14ac:dyDescent="0.25">
      <c r="B207" s="40"/>
    </row>
    <row r="208" spans="2:2" x14ac:dyDescent="0.25">
      <c r="B208" s="40"/>
    </row>
    <row r="209" spans="2:2" x14ac:dyDescent="0.25">
      <c r="B209" s="40"/>
    </row>
    <row r="210" spans="2:2" x14ac:dyDescent="0.25">
      <c r="B210" s="40"/>
    </row>
    <row r="211" spans="2:2" x14ac:dyDescent="0.25">
      <c r="B211" s="40"/>
    </row>
    <row r="212" spans="2:2" x14ac:dyDescent="0.25">
      <c r="B212" s="40"/>
    </row>
    <row r="213" spans="2:2" x14ac:dyDescent="0.25">
      <c r="B213" s="40"/>
    </row>
    <row r="214" spans="2:2" x14ac:dyDescent="0.25">
      <c r="B214" s="40"/>
    </row>
    <row r="215" spans="2:2" x14ac:dyDescent="0.25">
      <c r="B215" s="40"/>
    </row>
    <row r="216" spans="2:2" x14ac:dyDescent="0.25">
      <c r="B216" s="40"/>
    </row>
    <row r="217" spans="2:2" x14ac:dyDescent="0.25">
      <c r="B217" s="40"/>
    </row>
    <row r="218" spans="2:2" x14ac:dyDescent="0.25">
      <c r="B218" s="40"/>
    </row>
    <row r="219" spans="2:2" x14ac:dyDescent="0.25">
      <c r="B219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2E28D-3A5A-49A9-9146-EAC93CDE36D3}">
  <sheetPr codeName="Hoja3"/>
  <dimension ref="A1:E3"/>
  <sheetViews>
    <sheetView workbookViewId="0">
      <selection activeCell="A8" sqref="A8"/>
    </sheetView>
  </sheetViews>
  <sheetFormatPr baseColWidth="10" defaultColWidth="30.28515625" defaultRowHeight="15" x14ac:dyDescent="0.25"/>
  <cols>
    <col min="2" max="2" width="10.28515625" bestFit="1" customWidth="1"/>
    <col min="4" max="4" width="28.7109375" bestFit="1" customWidth="1"/>
    <col min="5" max="5" width="11.28515625" customWidth="1"/>
  </cols>
  <sheetData>
    <row r="1" spans="1:5" x14ac:dyDescent="0.25">
      <c r="A1" t="s">
        <v>40</v>
      </c>
      <c r="B1" t="s">
        <v>0</v>
      </c>
      <c r="C1" t="s">
        <v>1</v>
      </c>
      <c r="D1" t="s">
        <v>6</v>
      </c>
      <c r="E1" t="s">
        <v>7</v>
      </c>
    </row>
    <row r="2" spans="1:5" x14ac:dyDescent="0.25">
      <c r="A2" t="s">
        <v>22</v>
      </c>
      <c r="B2" t="s">
        <v>11</v>
      </c>
      <c r="C2" t="s">
        <v>9</v>
      </c>
      <c r="D2" t="s">
        <v>10</v>
      </c>
      <c r="E2" t="s">
        <v>2</v>
      </c>
    </row>
    <row r="3" spans="1:5" x14ac:dyDescent="0.25">
      <c r="A3" t="s">
        <v>59</v>
      </c>
      <c r="B3" t="s">
        <v>12</v>
      </c>
      <c r="C3" t="s">
        <v>13</v>
      </c>
      <c r="D3" t="s">
        <v>14</v>
      </c>
      <c r="E3" t="s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9281-EF6F-48CF-9E88-1983819FFB15}">
  <sheetPr codeName="Hoja4"/>
  <dimension ref="B3:B10"/>
  <sheetViews>
    <sheetView workbookViewId="0">
      <selection activeCell="B7" sqref="B7"/>
    </sheetView>
  </sheetViews>
  <sheetFormatPr baseColWidth="10" defaultRowHeight="15" x14ac:dyDescent="0.25"/>
  <cols>
    <col min="2" max="2" width="12.42578125" customWidth="1"/>
  </cols>
  <sheetData>
    <row r="3" spans="2:2" x14ac:dyDescent="0.25">
      <c r="B3" t="s">
        <v>55</v>
      </c>
    </row>
    <row r="4" spans="2:2" x14ac:dyDescent="0.25">
      <c r="B4" t="s">
        <v>18</v>
      </c>
    </row>
    <row r="5" spans="2:2" x14ac:dyDescent="0.25">
      <c r="B5" t="s">
        <v>42</v>
      </c>
    </row>
    <row r="6" spans="2:2" x14ac:dyDescent="0.25">
      <c r="B6" t="s">
        <v>47</v>
      </c>
    </row>
    <row r="7" spans="2:2" x14ac:dyDescent="0.25">
      <c r="B7" t="s">
        <v>117</v>
      </c>
    </row>
    <row r="8" spans="2:2" x14ac:dyDescent="0.25">
      <c r="B8" t="s">
        <v>87</v>
      </c>
    </row>
    <row r="9" spans="2:2" x14ac:dyDescent="0.25">
      <c r="B9" t="s">
        <v>129</v>
      </c>
    </row>
    <row r="10" spans="2:2" x14ac:dyDescent="0.25">
      <c r="B10" t="s">
        <v>137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0FD4-CE14-42DC-91CD-DBE5A8543116}">
  <sheetPr codeName="Hoja5"/>
  <dimension ref="A1:AO173"/>
  <sheetViews>
    <sheetView topLeftCell="K31" workbookViewId="0">
      <selection activeCell="F13" sqref="F13"/>
    </sheetView>
  </sheetViews>
  <sheetFormatPr baseColWidth="10" defaultRowHeight="15" x14ac:dyDescent="0.25"/>
  <cols>
    <col min="1" max="1" width="33" style="31" bestFit="1" customWidth="1"/>
    <col min="2" max="2" width="14.42578125" bestFit="1" customWidth="1"/>
    <col min="3" max="3" width="19.85546875" style="8" bestFit="1" customWidth="1"/>
    <col min="4" max="4" width="25" style="8" bestFit="1" customWidth="1"/>
    <col min="5" max="5" width="18.85546875" bestFit="1" customWidth="1"/>
    <col min="7" max="7" width="30.85546875" style="35" bestFit="1" customWidth="1"/>
    <col min="8" max="8" width="14.42578125" bestFit="1" customWidth="1"/>
    <col min="9" max="9" width="21.42578125" bestFit="1" customWidth="1"/>
    <col min="10" max="10" width="26.5703125" bestFit="1" customWidth="1"/>
    <col min="11" max="11" width="18.85546875" bestFit="1" customWidth="1"/>
    <col min="13" max="13" width="33.5703125" style="31" bestFit="1" customWidth="1"/>
    <col min="14" max="14" width="14.7109375" bestFit="1" customWidth="1"/>
    <col min="15" max="15" width="22.140625" bestFit="1" customWidth="1"/>
    <col min="16" max="16" width="27.28515625" bestFit="1" customWidth="1"/>
    <col min="17" max="17" width="18.85546875" bestFit="1" customWidth="1"/>
    <col min="19" max="19" width="32.85546875" style="31" bestFit="1" customWidth="1"/>
    <col min="20" max="20" width="15.5703125" bestFit="1" customWidth="1"/>
    <col min="21" max="21" width="23" bestFit="1" customWidth="1"/>
    <col min="22" max="22" width="28.140625" bestFit="1" customWidth="1"/>
    <col min="23" max="23" width="18.85546875" bestFit="1" customWidth="1"/>
    <col min="25" max="25" width="26" style="31" bestFit="1" customWidth="1"/>
    <col min="26" max="26" width="15.140625" bestFit="1" customWidth="1"/>
    <col min="27" max="27" width="22.5703125" bestFit="1" customWidth="1"/>
    <col min="28" max="28" width="27.7109375" bestFit="1" customWidth="1"/>
    <col min="29" max="29" width="18.85546875" style="37" bestFit="1" customWidth="1"/>
    <col min="31" max="31" width="23.140625" bestFit="1" customWidth="1"/>
    <col min="32" max="32" width="13.7109375" bestFit="1" customWidth="1"/>
    <col min="33" max="33" width="21.140625" bestFit="1" customWidth="1"/>
    <col min="34" max="34" width="26.28515625" bestFit="1" customWidth="1"/>
    <col min="35" max="35" width="18.85546875" bestFit="1" customWidth="1"/>
    <col min="37" max="37" width="42.5703125" style="31" bestFit="1" customWidth="1"/>
    <col min="38" max="38" width="18" bestFit="1" customWidth="1"/>
    <col min="39" max="39" width="25.42578125" bestFit="1" customWidth="1"/>
    <col min="40" max="40" width="30.5703125" bestFit="1" customWidth="1"/>
    <col min="41" max="41" width="18.85546875" style="38" bestFit="1" customWidth="1"/>
  </cols>
  <sheetData>
    <row r="1" spans="1:41" x14ac:dyDescent="0.25">
      <c r="A1" s="30" t="s">
        <v>18</v>
      </c>
      <c r="B1" s="20" t="s">
        <v>41</v>
      </c>
      <c r="C1" s="21" t="s">
        <v>19</v>
      </c>
      <c r="D1" s="21" t="s">
        <v>20</v>
      </c>
      <c r="E1" s="20" t="s">
        <v>21</v>
      </c>
      <c r="G1" s="30" t="s">
        <v>42</v>
      </c>
      <c r="H1" s="20" t="s">
        <v>41</v>
      </c>
      <c r="I1" s="21" t="s">
        <v>43</v>
      </c>
      <c r="J1" s="21" t="s">
        <v>44</v>
      </c>
      <c r="K1" s="20" t="s">
        <v>21</v>
      </c>
      <c r="M1" s="30" t="s">
        <v>47</v>
      </c>
      <c r="N1" s="20" t="s">
        <v>58</v>
      </c>
      <c r="O1" s="21" t="s">
        <v>48</v>
      </c>
      <c r="P1" s="21" t="s">
        <v>49</v>
      </c>
      <c r="Q1" s="20" t="s">
        <v>21</v>
      </c>
      <c r="S1" s="30" t="s">
        <v>117</v>
      </c>
      <c r="T1" s="20" t="s">
        <v>141</v>
      </c>
      <c r="U1" s="21" t="s">
        <v>118</v>
      </c>
      <c r="V1" s="21" t="s">
        <v>119</v>
      </c>
      <c r="W1" s="20" t="s">
        <v>21</v>
      </c>
      <c r="Y1" s="30" t="s">
        <v>87</v>
      </c>
      <c r="Z1" s="20" t="s">
        <v>142</v>
      </c>
      <c r="AA1" s="21" t="s">
        <v>127</v>
      </c>
      <c r="AB1" s="21" t="s">
        <v>128</v>
      </c>
      <c r="AC1" s="36" t="s">
        <v>21</v>
      </c>
      <c r="AE1" s="20" t="s">
        <v>129</v>
      </c>
      <c r="AF1" s="20" t="s">
        <v>143</v>
      </c>
      <c r="AG1" s="21" t="s">
        <v>130</v>
      </c>
      <c r="AH1" s="21" t="s">
        <v>131</v>
      </c>
      <c r="AI1" s="20" t="s">
        <v>21</v>
      </c>
      <c r="AK1" s="30" t="s">
        <v>137</v>
      </c>
      <c r="AL1" s="20" t="s">
        <v>144</v>
      </c>
      <c r="AM1" s="21" t="s">
        <v>138</v>
      </c>
      <c r="AN1" s="21" t="s">
        <v>139</v>
      </c>
      <c r="AO1" s="39" t="s">
        <v>21</v>
      </c>
    </row>
    <row r="2" spans="1:41" x14ac:dyDescent="0.25">
      <c r="A2" s="31" t="s">
        <v>233</v>
      </c>
      <c r="B2" s="25" t="s">
        <v>18</v>
      </c>
      <c r="C2" s="8">
        <v>10.45</v>
      </c>
      <c r="D2" s="8">
        <v>12.64</v>
      </c>
      <c r="E2" t="s">
        <v>22</v>
      </c>
      <c r="G2" s="35" t="s">
        <v>215</v>
      </c>
      <c r="H2" t="s">
        <v>42</v>
      </c>
      <c r="I2" s="8">
        <v>11.98</v>
      </c>
      <c r="J2" s="8">
        <v>14.5</v>
      </c>
      <c r="K2" t="s">
        <v>22</v>
      </c>
      <c r="M2" s="31" t="s">
        <v>248</v>
      </c>
      <c r="N2" t="s">
        <v>47</v>
      </c>
      <c r="O2" s="8">
        <v>10.69</v>
      </c>
      <c r="P2" s="8">
        <v>12.93</v>
      </c>
      <c r="Q2" t="s">
        <v>22</v>
      </c>
      <c r="S2" s="31" t="s">
        <v>275</v>
      </c>
      <c r="T2" t="s">
        <v>117</v>
      </c>
      <c r="U2" s="8">
        <v>15.5</v>
      </c>
      <c r="V2" s="8">
        <v>18.760000000000002</v>
      </c>
      <c r="W2" t="s">
        <v>22</v>
      </c>
      <c r="Y2" s="31" t="s">
        <v>223</v>
      </c>
      <c r="Z2" t="s">
        <v>87</v>
      </c>
      <c r="AA2" s="8">
        <v>46</v>
      </c>
      <c r="AB2" s="8">
        <v>55.66</v>
      </c>
      <c r="AC2" s="37" t="s">
        <v>22</v>
      </c>
      <c r="AE2" s="31" t="s">
        <v>194</v>
      </c>
      <c r="AF2" t="s">
        <v>129</v>
      </c>
      <c r="AG2" s="8">
        <v>10.98</v>
      </c>
      <c r="AH2" s="8">
        <v>13.29</v>
      </c>
      <c r="AI2" t="s">
        <v>22</v>
      </c>
      <c r="AK2" s="31" t="s">
        <v>193</v>
      </c>
      <c r="AL2" t="s">
        <v>137</v>
      </c>
      <c r="AM2" s="8">
        <v>7.53</v>
      </c>
      <c r="AN2" s="8">
        <v>9.11</v>
      </c>
      <c r="AO2" s="38" t="s">
        <v>22</v>
      </c>
    </row>
    <row r="3" spans="1:41" x14ac:dyDescent="0.25">
      <c r="A3" s="31" t="s">
        <v>239</v>
      </c>
      <c r="B3" s="25" t="s">
        <v>18</v>
      </c>
      <c r="C3" s="8">
        <v>9.92</v>
      </c>
      <c r="D3" s="8">
        <v>12</v>
      </c>
      <c r="E3" t="s">
        <v>22</v>
      </c>
      <c r="G3" s="35" t="s">
        <v>219</v>
      </c>
      <c r="H3" t="s">
        <v>42</v>
      </c>
      <c r="I3" s="8">
        <v>12.65</v>
      </c>
      <c r="J3" s="8">
        <v>15.31</v>
      </c>
      <c r="K3" t="s">
        <v>22</v>
      </c>
      <c r="M3" s="31" t="s">
        <v>249</v>
      </c>
      <c r="N3" t="s">
        <v>47</v>
      </c>
      <c r="O3" s="8">
        <v>14.15</v>
      </c>
      <c r="P3" s="8">
        <v>17.12</v>
      </c>
      <c r="Q3" t="s">
        <v>22</v>
      </c>
      <c r="S3" s="31" t="s">
        <v>259</v>
      </c>
      <c r="T3" t="s">
        <v>117</v>
      </c>
      <c r="U3" s="8">
        <v>15.12</v>
      </c>
      <c r="V3" s="8">
        <v>18.3</v>
      </c>
      <c r="W3" t="s">
        <v>22</v>
      </c>
      <c r="Y3" s="31" t="s">
        <v>221</v>
      </c>
      <c r="Z3" t="s">
        <v>87</v>
      </c>
      <c r="AA3" s="8">
        <v>178.25</v>
      </c>
      <c r="AB3" s="8">
        <v>215.68</v>
      </c>
      <c r="AC3" s="37" t="s">
        <v>22</v>
      </c>
      <c r="AE3" s="31" t="s">
        <v>191</v>
      </c>
      <c r="AF3" t="s">
        <v>129</v>
      </c>
      <c r="AG3" s="8">
        <v>11.9</v>
      </c>
      <c r="AH3" s="8">
        <v>14.4</v>
      </c>
      <c r="AI3" t="s">
        <v>22</v>
      </c>
      <c r="AK3" s="31" t="s">
        <v>192</v>
      </c>
      <c r="AL3" t="s">
        <v>137</v>
      </c>
      <c r="AM3" s="8">
        <v>7.53</v>
      </c>
      <c r="AN3" s="8">
        <v>9.11</v>
      </c>
      <c r="AO3" s="38" t="s">
        <v>22</v>
      </c>
    </row>
    <row r="4" spans="1:41" x14ac:dyDescent="0.25">
      <c r="A4" s="32" t="s">
        <v>23</v>
      </c>
      <c r="B4" s="25" t="s">
        <v>18</v>
      </c>
      <c r="C4" s="8">
        <v>13.74</v>
      </c>
      <c r="D4" s="8">
        <v>16.63</v>
      </c>
      <c r="E4" t="s">
        <v>22</v>
      </c>
      <c r="G4" s="35" t="s">
        <v>216</v>
      </c>
      <c r="H4" t="s">
        <v>42</v>
      </c>
      <c r="I4" s="8">
        <v>25</v>
      </c>
      <c r="J4" s="8">
        <v>30.25</v>
      </c>
      <c r="K4" t="s">
        <v>22</v>
      </c>
      <c r="M4" s="31" t="s">
        <v>251</v>
      </c>
      <c r="N4" t="s">
        <v>47</v>
      </c>
      <c r="O4" s="8">
        <v>12.11</v>
      </c>
      <c r="P4" s="8">
        <v>14.65</v>
      </c>
      <c r="Q4" t="s">
        <v>22</v>
      </c>
      <c r="S4" s="31" t="s">
        <v>260</v>
      </c>
      <c r="T4" t="s">
        <v>117</v>
      </c>
      <c r="U4" s="8">
        <v>20.43</v>
      </c>
      <c r="V4" s="8">
        <v>24.72</v>
      </c>
      <c r="W4" t="s">
        <v>22</v>
      </c>
      <c r="Y4" s="31" t="s">
        <v>220</v>
      </c>
      <c r="Z4" t="s">
        <v>87</v>
      </c>
      <c r="AA4" s="8">
        <v>19.940000000000001</v>
      </c>
      <c r="AB4" s="8">
        <v>24.13</v>
      </c>
      <c r="AC4" s="37" t="s">
        <v>22</v>
      </c>
      <c r="AE4" s="31" t="s">
        <v>134</v>
      </c>
      <c r="AF4" t="s">
        <v>129</v>
      </c>
      <c r="AG4" s="8">
        <v>11.72</v>
      </c>
      <c r="AH4" s="8">
        <v>14.18</v>
      </c>
      <c r="AI4" t="s">
        <v>22</v>
      </c>
      <c r="AK4" s="31" t="s">
        <v>195</v>
      </c>
      <c r="AL4" t="s">
        <v>137</v>
      </c>
      <c r="AM4" s="8">
        <v>11.38</v>
      </c>
      <c r="AN4" s="8">
        <v>13.77</v>
      </c>
      <c r="AO4" s="38" t="s">
        <v>22</v>
      </c>
    </row>
    <row r="5" spans="1:41" x14ac:dyDescent="0.25">
      <c r="A5" s="31" t="s">
        <v>229</v>
      </c>
      <c r="B5" s="25" t="s">
        <v>18</v>
      </c>
      <c r="C5" s="8">
        <v>10.59</v>
      </c>
      <c r="D5" s="8">
        <v>12.81</v>
      </c>
      <c r="E5" t="s">
        <v>22</v>
      </c>
      <c r="G5" s="35" t="s">
        <v>218</v>
      </c>
      <c r="H5" t="s">
        <v>42</v>
      </c>
      <c r="I5" s="8">
        <v>32.85</v>
      </c>
      <c r="J5" s="8">
        <v>39.75</v>
      </c>
      <c r="K5" t="s">
        <v>22</v>
      </c>
      <c r="M5" s="31" t="s">
        <v>247</v>
      </c>
      <c r="N5" t="s">
        <v>47</v>
      </c>
      <c r="O5" s="8">
        <v>14.98</v>
      </c>
      <c r="P5" s="8">
        <v>18.13</v>
      </c>
      <c r="Q5" t="s">
        <v>22</v>
      </c>
      <c r="S5" s="31" t="s">
        <v>124</v>
      </c>
      <c r="T5" t="s">
        <v>117</v>
      </c>
      <c r="U5" s="8">
        <v>11.72</v>
      </c>
      <c r="V5" s="8">
        <v>14.18</v>
      </c>
      <c r="W5" t="s">
        <v>22</v>
      </c>
      <c r="Y5" s="31" t="s">
        <v>222</v>
      </c>
      <c r="Z5" t="s">
        <v>87</v>
      </c>
      <c r="AA5" s="8">
        <v>59.25</v>
      </c>
      <c r="AB5" s="8">
        <v>71.69</v>
      </c>
      <c r="AC5" s="37" t="s">
        <v>22</v>
      </c>
      <c r="AE5" s="31" t="s">
        <v>135</v>
      </c>
      <c r="AF5" t="s">
        <v>129</v>
      </c>
      <c r="AG5" s="8">
        <v>9.99</v>
      </c>
      <c r="AH5" s="8">
        <v>12.09</v>
      </c>
      <c r="AI5" t="s">
        <v>22</v>
      </c>
      <c r="AK5" s="31" t="s">
        <v>196</v>
      </c>
      <c r="AL5" t="s">
        <v>137</v>
      </c>
      <c r="AM5" s="8">
        <v>11.38</v>
      </c>
      <c r="AN5" s="8">
        <v>13.77</v>
      </c>
      <c r="AO5" s="38" t="s">
        <v>22</v>
      </c>
    </row>
    <row r="6" spans="1:41" x14ac:dyDescent="0.25">
      <c r="A6" s="31" t="s">
        <v>235</v>
      </c>
      <c r="B6" s="25" t="s">
        <v>18</v>
      </c>
      <c r="C6" s="8">
        <v>12.7</v>
      </c>
      <c r="D6" s="8">
        <v>15.37</v>
      </c>
      <c r="E6" t="s">
        <v>22</v>
      </c>
      <c r="G6" s="35" t="s">
        <v>214</v>
      </c>
      <c r="H6" t="s">
        <v>42</v>
      </c>
      <c r="I6" s="8">
        <v>9.92</v>
      </c>
      <c r="J6" s="8">
        <v>12</v>
      </c>
      <c r="K6" t="s">
        <v>22</v>
      </c>
      <c r="M6" s="31" t="s">
        <v>212</v>
      </c>
      <c r="N6" t="s">
        <v>47</v>
      </c>
      <c r="O6" s="8">
        <v>18.98</v>
      </c>
      <c r="P6" s="8">
        <v>22.97</v>
      </c>
      <c r="Q6" t="s">
        <v>22</v>
      </c>
      <c r="S6" s="31" t="s">
        <v>261</v>
      </c>
      <c r="T6" t="s">
        <v>117</v>
      </c>
      <c r="U6" s="8">
        <v>17.86</v>
      </c>
      <c r="V6" s="8">
        <v>21.61</v>
      </c>
      <c r="W6" t="s">
        <v>22</v>
      </c>
      <c r="Y6" s="31" t="s">
        <v>199</v>
      </c>
      <c r="Z6" t="s">
        <v>87</v>
      </c>
      <c r="AA6" s="8">
        <v>35.32</v>
      </c>
      <c r="AB6" s="8">
        <v>42.74</v>
      </c>
      <c r="AC6" s="37" t="s">
        <v>22</v>
      </c>
      <c r="AE6" s="31" t="s">
        <v>132</v>
      </c>
      <c r="AF6" t="s">
        <v>129</v>
      </c>
      <c r="AG6" s="8">
        <v>15.13</v>
      </c>
      <c r="AH6" s="8">
        <v>18.309999999999999</v>
      </c>
      <c r="AI6" t="s">
        <v>22</v>
      </c>
      <c r="AK6" s="31" t="s">
        <v>197</v>
      </c>
      <c r="AL6" t="s">
        <v>137</v>
      </c>
      <c r="AM6" s="8">
        <v>9.49</v>
      </c>
      <c r="AN6" s="8">
        <v>11.48</v>
      </c>
      <c r="AO6" s="38" t="s">
        <v>22</v>
      </c>
    </row>
    <row r="7" spans="1:41" x14ac:dyDescent="0.25">
      <c r="A7" s="31" t="s">
        <v>236</v>
      </c>
      <c r="B7" s="25" t="s">
        <v>18</v>
      </c>
      <c r="C7" s="8">
        <v>12.34</v>
      </c>
      <c r="D7" s="8">
        <v>14.93</v>
      </c>
      <c r="E7" t="s">
        <v>22</v>
      </c>
      <c r="G7" s="35" t="s">
        <v>46</v>
      </c>
      <c r="H7" t="s">
        <v>42</v>
      </c>
      <c r="I7" s="8">
        <v>37.75</v>
      </c>
      <c r="J7" s="8">
        <v>45.68</v>
      </c>
      <c r="K7" t="s">
        <v>22</v>
      </c>
      <c r="M7" s="31" t="s">
        <v>207</v>
      </c>
      <c r="N7" t="s">
        <v>47</v>
      </c>
      <c r="O7" s="8">
        <v>44.3</v>
      </c>
      <c r="P7" s="8">
        <v>53.6</v>
      </c>
      <c r="Q7" t="s">
        <v>22</v>
      </c>
      <c r="S7" s="31" t="s">
        <v>270</v>
      </c>
      <c r="T7" t="s">
        <v>117</v>
      </c>
      <c r="U7" s="8">
        <v>22.5</v>
      </c>
      <c r="V7" s="8">
        <v>27.23</v>
      </c>
      <c r="W7" t="s">
        <v>22</v>
      </c>
      <c r="AA7" s="8"/>
      <c r="AB7" s="8"/>
      <c r="AE7" s="31" t="s">
        <v>140</v>
      </c>
      <c r="AF7" t="s">
        <v>129</v>
      </c>
      <c r="AG7" s="8">
        <v>13.99</v>
      </c>
      <c r="AH7" s="8">
        <v>16.93</v>
      </c>
      <c r="AI7" t="s">
        <v>22</v>
      </c>
      <c r="AK7" s="31" t="s">
        <v>226</v>
      </c>
      <c r="AL7" t="s">
        <v>137</v>
      </c>
      <c r="AM7" s="8">
        <v>52.25</v>
      </c>
      <c r="AN7" s="8">
        <v>63.22</v>
      </c>
      <c r="AO7" s="38" t="s">
        <v>22</v>
      </c>
    </row>
    <row r="8" spans="1:41" x14ac:dyDescent="0.25">
      <c r="A8" s="31" t="s">
        <v>237</v>
      </c>
      <c r="B8" s="25" t="s">
        <v>18</v>
      </c>
      <c r="C8" s="8">
        <v>15.9</v>
      </c>
      <c r="D8" s="8">
        <v>19.239999999999998</v>
      </c>
      <c r="E8" t="s">
        <v>22</v>
      </c>
      <c r="G8" s="35" t="s">
        <v>45</v>
      </c>
      <c r="H8" t="s">
        <v>42</v>
      </c>
      <c r="I8" s="8">
        <v>7.65</v>
      </c>
      <c r="J8" s="8">
        <v>9.26</v>
      </c>
      <c r="K8" t="s">
        <v>22</v>
      </c>
      <c r="M8" s="31" t="s">
        <v>51</v>
      </c>
      <c r="N8" t="s">
        <v>47</v>
      </c>
      <c r="O8" s="8">
        <v>9.8800000000000008</v>
      </c>
      <c r="P8" s="8">
        <v>11.95</v>
      </c>
      <c r="Q8" t="s">
        <v>22</v>
      </c>
      <c r="S8" s="31" t="s">
        <v>267</v>
      </c>
      <c r="T8" t="s">
        <v>117</v>
      </c>
      <c r="U8" s="8">
        <v>17.75</v>
      </c>
      <c r="V8" s="8">
        <v>21.48</v>
      </c>
      <c r="W8" t="s">
        <v>22</v>
      </c>
      <c r="AA8" s="8"/>
      <c r="AB8" s="8"/>
      <c r="AE8" s="31" t="s">
        <v>133</v>
      </c>
      <c r="AF8" t="s">
        <v>129</v>
      </c>
      <c r="AG8" s="8">
        <v>12.42</v>
      </c>
      <c r="AH8" s="8">
        <v>15.03</v>
      </c>
      <c r="AI8" t="s">
        <v>22</v>
      </c>
      <c r="AK8" s="31" t="s">
        <v>200</v>
      </c>
      <c r="AL8" t="s">
        <v>137</v>
      </c>
      <c r="AM8" s="8">
        <v>44.4</v>
      </c>
      <c r="AN8" s="8">
        <v>53.72</v>
      </c>
      <c r="AO8" s="38" t="s">
        <v>22</v>
      </c>
    </row>
    <row r="9" spans="1:41" x14ac:dyDescent="0.25">
      <c r="A9" s="31" t="s">
        <v>230</v>
      </c>
      <c r="B9" s="25" t="s">
        <v>18</v>
      </c>
      <c r="C9" s="8">
        <v>11.38</v>
      </c>
      <c r="D9" s="8">
        <v>13.77</v>
      </c>
      <c r="E9" t="s">
        <v>22</v>
      </c>
      <c r="G9" s="35" t="s">
        <v>217</v>
      </c>
      <c r="H9" t="s">
        <v>42</v>
      </c>
      <c r="I9" s="8">
        <v>9.4</v>
      </c>
      <c r="J9" s="8">
        <v>11.37</v>
      </c>
      <c r="K9" t="s">
        <v>22</v>
      </c>
      <c r="M9" s="31" t="s">
        <v>246</v>
      </c>
      <c r="N9" t="s">
        <v>47</v>
      </c>
      <c r="O9" s="8">
        <v>11.29</v>
      </c>
      <c r="P9" s="8">
        <v>13.66</v>
      </c>
      <c r="Q9" t="s">
        <v>22</v>
      </c>
      <c r="S9" s="31" t="s">
        <v>262</v>
      </c>
      <c r="T9" t="s">
        <v>117</v>
      </c>
      <c r="U9" s="8">
        <v>15.5</v>
      </c>
      <c r="V9" s="8">
        <v>18.760000000000002</v>
      </c>
      <c r="W9" t="s">
        <v>22</v>
      </c>
      <c r="AA9" s="8"/>
      <c r="AB9" s="8"/>
      <c r="AE9" s="31"/>
      <c r="AG9" s="8"/>
      <c r="AH9" s="8"/>
      <c r="AK9" s="31" t="s">
        <v>201</v>
      </c>
      <c r="AL9" t="s">
        <v>137</v>
      </c>
      <c r="AM9" s="8">
        <v>34.799999999999997</v>
      </c>
      <c r="AN9" s="8">
        <v>42.11</v>
      </c>
      <c r="AO9" s="38" t="s">
        <v>22</v>
      </c>
    </row>
    <row r="10" spans="1:41" x14ac:dyDescent="0.25">
      <c r="A10" s="31" t="s">
        <v>231</v>
      </c>
      <c r="B10" s="25" t="s">
        <v>18</v>
      </c>
      <c r="C10" s="8">
        <v>22.69</v>
      </c>
      <c r="D10" s="8">
        <v>27.45</v>
      </c>
      <c r="E10" t="s">
        <v>22</v>
      </c>
      <c r="I10" s="8"/>
      <c r="J10" s="8"/>
      <c r="M10" s="31" t="s">
        <v>254</v>
      </c>
      <c r="N10" t="s">
        <v>47</v>
      </c>
      <c r="O10" s="8">
        <v>11.38</v>
      </c>
      <c r="P10" s="8">
        <v>13.77</v>
      </c>
      <c r="Q10" t="s">
        <v>22</v>
      </c>
      <c r="S10" s="31" t="s">
        <v>198</v>
      </c>
      <c r="T10" t="s">
        <v>117</v>
      </c>
      <c r="U10" s="8">
        <v>9.83</v>
      </c>
      <c r="V10" s="8">
        <v>11.89</v>
      </c>
      <c r="W10" t="s">
        <v>22</v>
      </c>
      <c r="AA10" s="8"/>
      <c r="AB10" s="8"/>
      <c r="AE10" s="31"/>
      <c r="AG10" s="8"/>
      <c r="AH10" s="8"/>
      <c r="AM10" s="8"/>
      <c r="AN10" s="8"/>
    </row>
    <row r="11" spans="1:41" x14ac:dyDescent="0.25">
      <c r="A11" s="31" t="s">
        <v>28</v>
      </c>
      <c r="B11" s="25" t="s">
        <v>18</v>
      </c>
      <c r="C11" s="8">
        <v>29.14</v>
      </c>
      <c r="D11" s="8">
        <v>35.26</v>
      </c>
      <c r="E11" t="s">
        <v>22</v>
      </c>
      <c r="I11" s="8"/>
      <c r="J11" s="8"/>
      <c r="M11" s="31" t="s">
        <v>250</v>
      </c>
      <c r="N11" t="s">
        <v>47</v>
      </c>
      <c r="O11" s="8">
        <v>37.75</v>
      </c>
      <c r="P11" s="8">
        <v>45.68</v>
      </c>
      <c r="Q11" t="s">
        <v>22</v>
      </c>
      <c r="S11" s="31" t="s">
        <v>264</v>
      </c>
      <c r="T11" t="s">
        <v>117</v>
      </c>
      <c r="U11" s="8">
        <v>23.75</v>
      </c>
      <c r="V11" s="8">
        <v>28.74</v>
      </c>
      <c r="W11" t="s">
        <v>22</v>
      </c>
      <c r="AA11" s="8"/>
      <c r="AB11" s="8"/>
      <c r="AE11" s="31"/>
      <c r="AG11" s="8"/>
      <c r="AH11" s="8"/>
      <c r="AM11" s="8"/>
      <c r="AN11" s="8"/>
    </row>
    <row r="12" spans="1:41" x14ac:dyDescent="0.25">
      <c r="A12" s="31" t="s">
        <v>32</v>
      </c>
      <c r="B12" s="25" t="s">
        <v>18</v>
      </c>
      <c r="C12" s="8">
        <v>11.8</v>
      </c>
      <c r="D12" s="8">
        <v>14.28</v>
      </c>
      <c r="E12" t="s">
        <v>22</v>
      </c>
      <c r="I12" s="8"/>
      <c r="J12" s="8"/>
      <c r="M12" s="31" t="s">
        <v>202</v>
      </c>
      <c r="N12" t="s">
        <v>47</v>
      </c>
      <c r="O12" s="8">
        <v>78</v>
      </c>
      <c r="P12" s="8">
        <v>94.38</v>
      </c>
      <c r="Q12" t="s">
        <v>22</v>
      </c>
      <c r="S12" s="31" t="s">
        <v>125</v>
      </c>
      <c r="T12" t="s">
        <v>117</v>
      </c>
      <c r="U12" s="8">
        <v>29.75</v>
      </c>
      <c r="V12" s="8">
        <v>36</v>
      </c>
      <c r="W12" t="s">
        <v>22</v>
      </c>
      <c r="AA12" s="8"/>
      <c r="AB12" s="8"/>
      <c r="AE12" s="31"/>
      <c r="AG12" s="8"/>
      <c r="AH12" s="8"/>
      <c r="AM12" s="8"/>
      <c r="AN12" s="8"/>
    </row>
    <row r="13" spans="1:41" x14ac:dyDescent="0.25">
      <c r="A13" s="31" t="s">
        <v>33</v>
      </c>
      <c r="B13" s="25" t="s">
        <v>18</v>
      </c>
      <c r="C13" s="8">
        <v>18.5</v>
      </c>
      <c r="D13" s="8">
        <v>22.39</v>
      </c>
      <c r="E13" t="s">
        <v>22</v>
      </c>
      <c r="I13" s="8"/>
      <c r="J13" s="8"/>
      <c r="M13" s="31" t="s">
        <v>208</v>
      </c>
      <c r="N13" t="s">
        <v>47</v>
      </c>
      <c r="O13" s="8">
        <v>17.45</v>
      </c>
      <c r="P13" s="8">
        <v>21.11</v>
      </c>
      <c r="Q13" t="s">
        <v>22</v>
      </c>
      <c r="S13" s="31" t="s">
        <v>255</v>
      </c>
      <c r="T13" t="s">
        <v>117</v>
      </c>
      <c r="U13" s="8">
        <v>12.86</v>
      </c>
      <c r="V13" s="8">
        <v>15.56</v>
      </c>
      <c r="W13" t="s">
        <v>22</v>
      </c>
      <c r="AA13" s="8"/>
      <c r="AB13" s="8"/>
      <c r="AE13" s="31"/>
      <c r="AG13" s="8"/>
      <c r="AH13" s="8"/>
      <c r="AM13" s="8"/>
      <c r="AN13" s="8"/>
    </row>
    <row r="14" spans="1:41" x14ac:dyDescent="0.25">
      <c r="A14" s="31" t="s">
        <v>34</v>
      </c>
      <c r="B14" s="25" t="s">
        <v>18</v>
      </c>
      <c r="C14" s="8">
        <v>40.549999999999997</v>
      </c>
      <c r="D14" s="8">
        <v>49.07</v>
      </c>
      <c r="E14" t="s">
        <v>22</v>
      </c>
      <c r="I14" s="8"/>
      <c r="J14" s="8"/>
      <c r="M14" s="31" t="s">
        <v>211</v>
      </c>
      <c r="N14" t="s">
        <v>47</v>
      </c>
      <c r="O14" s="8">
        <v>14.75</v>
      </c>
      <c r="P14" s="8">
        <v>17.850000000000001</v>
      </c>
      <c r="Q14" t="s">
        <v>22</v>
      </c>
      <c r="S14" s="31" t="s">
        <v>268</v>
      </c>
      <c r="T14" t="s">
        <v>117</v>
      </c>
      <c r="U14" s="8">
        <v>28.27</v>
      </c>
      <c r="V14" s="8">
        <v>34.21</v>
      </c>
      <c r="W14" t="s">
        <v>22</v>
      </c>
      <c r="AA14" s="8"/>
      <c r="AB14" s="8"/>
      <c r="AE14" s="31"/>
      <c r="AG14" s="8"/>
      <c r="AH14" s="8"/>
      <c r="AM14" s="8"/>
      <c r="AN14" s="8"/>
    </row>
    <row r="15" spans="1:41" x14ac:dyDescent="0.25">
      <c r="A15" s="31" t="s">
        <v>232</v>
      </c>
      <c r="B15" s="25" t="s">
        <v>18</v>
      </c>
      <c r="C15" s="8">
        <v>10.72</v>
      </c>
      <c r="D15" s="8">
        <v>12.97</v>
      </c>
      <c r="E15" t="s">
        <v>22</v>
      </c>
      <c r="I15" s="8"/>
      <c r="J15" s="8"/>
      <c r="M15" s="31" t="s">
        <v>50</v>
      </c>
      <c r="N15" t="s">
        <v>47</v>
      </c>
      <c r="O15" s="8">
        <v>10.59</v>
      </c>
      <c r="P15" s="8">
        <v>12.81</v>
      </c>
      <c r="Q15" t="s">
        <v>22</v>
      </c>
      <c r="S15" s="31" t="s">
        <v>120</v>
      </c>
      <c r="T15" t="s">
        <v>117</v>
      </c>
      <c r="U15" s="8">
        <v>10.38</v>
      </c>
      <c r="V15" s="8">
        <v>12.56</v>
      </c>
      <c r="W15" t="s">
        <v>22</v>
      </c>
      <c r="AA15" s="8"/>
      <c r="AB15" s="8"/>
      <c r="AE15" s="31"/>
      <c r="AG15" s="8"/>
      <c r="AH15" s="8"/>
      <c r="AM15" s="8"/>
      <c r="AN15" s="8"/>
    </row>
    <row r="16" spans="1:41" x14ac:dyDescent="0.25">
      <c r="A16" s="31" t="s">
        <v>24</v>
      </c>
      <c r="B16" s="25" t="s">
        <v>18</v>
      </c>
      <c r="C16" s="8">
        <v>19.399999999999999</v>
      </c>
      <c r="D16" s="8">
        <v>23.47</v>
      </c>
      <c r="E16" t="s">
        <v>22</v>
      </c>
      <c r="G16" s="35" t="s">
        <v>88</v>
      </c>
      <c r="H16" t="s">
        <v>42</v>
      </c>
      <c r="I16" s="8">
        <v>11.55</v>
      </c>
      <c r="J16" s="8"/>
      <c r="K16" s="8" t="s">
        <v>59</v>
      </c>
      <c r="M16" s="31" t="s">
        <v>209</v>
      </c>
      <c r="N16" t="s">
        <v>47</v>
      </c>
      <c r="O16" s="8">
        <v>12.75</v>
      </c>
      <c r="P16" s="8">
        <v>15.43</v>
      </c>
      <c r="Q16" t="s">
        <v>22</v>
      </c>
      <c r="S16" s="31" t="s">
        <v>265</v>
      </c>
      <c r="T16" t="s">
        <v>117</v>
      </c>
      <c r="U16" s="8">
        <v>19.5</v>
      </c>
      <c r="V16" s="8">
        <v>23.6</v>
      </c>
      <c r="W16" t="s">
        <v>22</v>
      </c>
      <c r="AA16" s="8"/>
      <c r="AB16" s="8"/>
      <c r="AC16" s="38"/>
      <c r="AE16" s="31"/>
      <c r="AG16" s="8"/>
      <c r="AH16" s="8"/>
      <c r="AM16" s="8"/>
      <c r="AN16" s="8"/>
    </row>
    <row r="17" spans="1:41" x14ac:dyDescent="0.25">
      <c r="A17" s="31" t="s">
        <v>30</v>
      </c>
      <c r="B17" s="25" t="s">
        <v>18</v>
      </c>
      <c r="C17" s="8">
        <v>22.1</v>
      </c>
      <c r="D17" s="8">
        <v>26.74</v>
      </c>
      <c r="E17" t="s">
        <v>22</v>
      </c>
      <c r="G17" s="35" t="s">
        <v>89</v>
      </c>
      <c r="H17" t="s">
        <v>42</v>
      </c>
      <c r="I17" s="8">
        <v>28.5</v>
      </c>
      <c r="J17" s="8"/>
      <c r="K17" s="8" t="s">
        <v>59</v>
      </c>
      <c r="M17" s="31" t="s">
        <v>253</v>
      </c>
      <c r="N17" t="s">
        <v>47</v>
      </c>
      <c r="O17" s="8">
        <v>11.85</v>
      </c>
      <c r="P17" s="8">
        <v>14.34</v>
      </c>
      <c r="Q17" t="s">
        <v>22</v>
      </c>
      <c r="S17" s="31" t="s">
        <v>266</v>
      </c>
      <c r="T17" t="s">
        <v>117</v>
      </c>
      <c r="U17" s="8">
        <v>19.5</v>
      </c>
      <c r="V17" s="8">
        <v>23.6</v>
      </c>
      <c r="W17" t="s">
        <v>22</v>
      </c>
      <c r="AA17" s="8"/>
      <c r="AB17" s="8"/>
      <c r="AE17" s="31"/>
      <c r="AG17" s="8"/>
      <c r="AH17" s="8"/>
      <c r="AK17" s="31" t="s">
        <v>184</v>
      </c>
      <c r="AL17" t="s">
        <v>137</v>
      </c>
      <c r="AM17" s="8">
        <v>6.99</v>
      </c>
      <c r="AN17" s="8"/>
      <c r="AO17" s="38" t="s">
        <v>59</v>
      </c>
    </row>
    <row r="18" spans="1:41" x14ac:dyDescent="0.25">
      <c r="A18" s="31" t="s">
        <v>234</v>
      </c>
      <c r="B18" s="25" t="s">
        <v>18</v>
      </c>
      <c r="C18" s="8">
        <v>19.440000000000001</v>
      </c>
      <c r="D18" s="8">
        <v>23.52</v>
      </c>
      <c r="E18" t="s">
        <v>22</v>
      </c>
      <c r="G18" s="35" t="s">
        <v>90</v>
      </c>
      <c r="H18" t="s">
        <v>42</v>
      </c>
      <c r="I18" s="8">
        <v>29.9</v>
      </c>
      <c r="J18" s="8"/>
      <c r="K18" s="8" t="s">
        <v>59</v>
      </c>
      <c r="M18" s="31" t="s">
        <v>252</v>
      </c>
      <c r="N18" t="s">
        <v>47</v>
      </c>
      <c r="O18" s="8">
        <v>22.62</v>
      </c>
      <c r="P18" s="8">
        <v>27.37</v>
      </c>
      <c r="Q18" t="s">
        <v>22</v>
      </c>
      <c r="S18" s="31" t="s">
        <v>274</v>
      </c>
      <c r="T18" t="s">
        <v>117</v>
      </c>
      <c r="U18" s="8">
        <v>11.75</v>
      </c>
      <c r="V18" s="8">
        <v>14.22</v>
      </c>
      <c r="W18" t="s">
        <v>22</v>
      </c>
      <c r="Y18" s="31" t="s">
        <v>151</v>
      </c>
      <c r="Z18" t="s">
        <v>87</v>
      </c>
      <c r="AA18" s="8">
        <v>72.28</v>
      </c>
      <c r="AB18" s="8"/>
      <c r="AC18" s="38" t="s">
        <v>59</v>
      </c>
      <c r="AE18" s="31"/>
      <c r="AG18" s="8"/>
      <c r="AH18" s="8"/>
      <c r="AK18" s="31" t="s">
        <v>185</v>
      </c>
      <c r="AL18" t="s">
        <v>137</v>
      </c>
      <c r="AM18" s="8">
        <v>6.99</v>
      </c>
      <c r="AN18" s="8"/>
      <c r="AO18" s="38" t="s">
        <v>59</v>
      </c>
    </row>
    <row r="19" spans="1:41" x14ac:dyDescent="0.25">
      <c r="A19" s="31" t="s">
        <v>240</v>
      </c>
      <c r="B19" s="25" t="s">
        <v>18</v>
      </c>
      <c r="C19" s="8">
        <v>46</v>
      </c>
      <c r="D19" s="8">
        <v>55.66</v>
      </c>
      <c r="E19" t="s">
        <v>22</v>
      </c>
      <c r="G19" s="35" t="s">
        <v>91</v>
      </c>
      <c r="H19" t="s">
        <v>42</v>
      </c>
      <c r="I19" s="8">
        <v>9.85</v>
      </c>
      <c r="J19" s="8"/>
      <c r="K19" s="8" t="s">
        <v>59</v>
      </c>
      <c r="M19" s="31" t="s">
        <v>244</v>
      </c>
      <c r="N19" t="s">
        <v>47</v>
      </c>
      <c r="O19" s="8">
        <v>149.5</v>
      </c>
      <c r="P19" s="8">
        <v>180.9</v>
      </c>
      <c r="Q19" t="s">
        <v>22</v>
      </c>
      <c r="S19" s="31" t="s">
        <v>271</v>
      </c>
      <c r="T19" t="s">
        <v>117</v>
      </c>
      <c r="U19" s="8">
        <v>34.5</v>
      </c>
      <c r="V19" s="8">
        <v>41.75</v>
      </c>
      <c r="W19" t="s">
        <v>22</v>
      </c>
      <c r="Y19" s="31" t="s">
        <v>153</v>
      </c>
      <c r="Z19" t="s">
        <v>87</v>
      </c>
      <c r="AA19" s="8">
        <v>47.9</v>
      </c>
      <c r="AB19" s="8"/>
      <c r="AC19" s="38" t="s">
        <v>59</v>
      </c>
      <c r="AE19" s="31" t="s">
        <v>183</v>
      </c>
      <c r="AF19" t="s">
        <v>129</v>
      </c>
      <c r="AG19" s="8">
        <v>10.65</v>
      </c>
      <c r="AH19" s="8"/>
      <c r="AI19" s="8" t="s">
        <v>59</v>
      </c>
      <c r="AK19" s="31" t="s">
        <v>186</v>
      </c>
      <c r="AL19" t="s">
        <v>137</v>
      </c>
      <c r="AM19" s="8">
        <v>10.65</v>
      </c>
      <c r="AN19" s="8"/>
      <c r="AO19" s="38" t="s">
        <v>59</v>
      </c>
    </row>
    <row r="20" spans="1:41" x14ac:dyDescent="0.25">
      <c r="A20" s="31" t="s">
        <v>241</v>
      </c>
      <c r="B20" s="25" t="s">
        <v>18</v>
      </c>
      <c r="C20" s="8">
        <v>46</v>
      </c>
      <c r="D20" s="8">
        <v>55.66</v>
      </c>
      <c r="E20" t="s">
        <v>22</v>
      </c>
      <c r="G20" s="35" t="s">
        <v>92</v>
      </c>
      <c r="H20" t="s">
        <v>42</v>
      </c>
      <c r="I20" s="8">
        <v>35.9</v>
      </c>
      <c r="J20" s="8"/>
      <c r="K20" s="8" t="s">
        <v>59</v>
      </c>
      <c r="M20" s="31" t="s">
        <v>245</v>
      </c>
      <c r="N20" t="s">
        <v>47</v>
      </c>
      <c r="O20" s="8">
        <v>27.85</v>
      </c>
      <c r="P20" s="8">
        <v>33.700000000000003</v>
      </c>
      <c r="Q20" t="s">
        <v>22</v>
      </c>
      <c r="S20" s="31" t="s">
        <v>273</v>
      </c>
      <c r="T20" t="s">
        <v>117</v>
      </c>
      <c r="U20" s="8">
        <v>18.98</v>
      </c>
      <c r="V20" s="8">
        <v>22.97</v>
      </c>
      <c r="W20" t="s">
        <v>22</v>
      </c>
      <c r="Y20" s="31" t="s">
        <v>152</v>
      </c>
      <c r="Z20" t="s">
        <v>87</v>
      </c>
      <c r="AA20" s="8">
        <v>17.95</v>
      </c>
      <c r="AB20" s="8"/>
      <c r="AC20" s="38" t="s">
        <v>59</v>
      </c>
      <c r="AE20" s="31" t="s">
        <v>145</v>
      </c>
      <c r="AF20" t="s">
        <v>129</v>
      </c>
      <c r="AG20" s="8">
        <v>5.9</v>
      </c>
      <c r="AH20" s="8"/>
      <c r="AI20" s="8" t="s">
        <v>59</v>
      </c>
      <c r="AK20" s="31" t="s">
        <v>187</v>
      </c>
      <c r="AL20" t="s">
        <v>137</v>
      </c>
      <c r="AM20" s="8">
        <v>10.65</v>
      </c>
      <c r="AN20" s="8"/>
      <c r="AO20" s="38" t="s">
        <v>59</v>
      </c>
    </row>
    <row r="21" spans="1:41" x14ac:dyDescent="0.25">
      <c r="A21" s="31" t="s">
        <v>29</v>
      </c>
      <c r="B21" s="25" t="s">
        <v>18</v>
      </c>
      <c r="C21" s="8">
        <v>13.52</v>
      </c>
      <c r="D21" s="8">
        <v>16.36</v>
      </c>
      <c r="E21" t="s">
        <v>22</v>
      </c>
      <c r="G21" s="35" t="s">
        <v>93</v>
      </c>
      <c r="H21" t="s">
        <v>42</v>
      </c>
      <c r="I21" s="8">
        <v>7.5</v>
      </c>
      <c r="J21" s="8"/>
      <c r="K21" s="8" t="s">
        <v>59</v>
      </c>
      <c r="M21" s="31" t="s">
        <v>205</v>
      </c>
      <c r="N21" t="s">
        <v>47</v>
      </c>
      <c r="O21" s="8">
        <v>85</v>
      </c>
      <c r="P21" s="8">
        <v>102.85</v>
      </c>
      <c r="Q21" t="s">
        <v>22</v>
      </c>
      <c r="S21" s="31" t="s">
        <v>269</v>
      </c>
      <c r="T21" t="s">
        <v>117</v>
      </c>
      <c r="U21" s="8">
        <v>13.1</v>
      </c>
      <c r="V21" s="8">
        <v>15.85</v>
      </c>
      <c r="W21" t="s">
        <v>22</v>
      </c>
      <c r="Y21" s="31" t="s">
        <v>224</v>
      </c>
      <c r="Z21" t="s">
        <v>87</v>
      </c>
      <c r="AA21" s="8">
        <v>50.4</v>
      </c>
      <c r="AB21" s="8"/>
      <c r="AC21" s="38" t="s">
        <v>59</v>
      </c>
      <c r="AE21" s="31" t="s">
        <v>146</v>
      </c>
      <c r="AF21" t="s">
        <v>129</v>
      </c>
      <c r="AG21" s="8">
        <v>11.95</v>
      </c>
      <c r="AH21" s="8"/>
      <c r="AI21" s="8" t="s">
        <v>59</v>
      </c>
      <c r="AK21" s="31" t="s">
        <v>188</v>
      </c>
      <c r="AL21" t="s">
        <v>137</v>
      </c>
      <c r="AM21" s="8">
        <v>5.99</v>
      </c>
      <c r="AN21" s="8"/>
      <c r="AO21" s="38" t="s">
        <v>59</v>
      </c>
    </row>
    <row r="22" spans="1:41" x14ac:dyDescent="0.25">
      <c r="A22" s="31" t="s">
        <v>136</v>
      </c>
      <c r="B22" t="s">
        <v>18</v>
      </c>
      <c r="C22" s="8">
        <v>10.43</v>
      </c>
      <c r="D22" s="8">
        <v>12.62</v>
      </c>
      <c r="E22" t="s">
        <v>22</v>
      </c>
      <c r="G22" s="35" t="s">
        <v>94</v>
      </c>
      <c r="H22" t="s">
        <v>42</v>
      </c>
      <c r="I22" s="8">
        <v>9.9499999999999993</v>
      </c>
      <c r="J22" s="8"/>
      <c r="K22" s="8" t="s">
        <v>59</v>
      </c>
      <c r="M22" s="31" t="s">
        <v>204</v>
      </c>
      <c r="N22" t="s">
        <v>47</v>
      </c>
      <c r="O22" s="8">
        <v>55.5</v>
      </c>
      <c r="P22" s="8">
        <v>67.16</v>
      </c>
      <c r="Q22" t="s">
        <v>22</v>
      </c>
      <c r="S22" s="31" t="s">
        <v>121</v>
      </c>
      <c r="T22" t="s">
        <v>117</v>
      </c>
      <c r="U22" s="8">
        <v>24.67</v>
      </c>
      <c r="V22" s="8">
        <v>29.85</v>
      </c>
      <c r="W22" t="s">
        <v>22</v>
      </c>
      <c r="Y22" s="31" t="s">
        <v>225</v>
      </c>
      <c r="Z22" t="s">
        <v>87</v>
      </c>
      <c r="AA22" s="8">
        <v>32.85</v>
      </c>
      <c r="AB22" s="8"/>
      <c r="AC22" s="38" t="s">
        <v>59</v>
      </c>
      <c r="AE22" s="31" t="s">
        <v>147</v>
      </c>
      <c r="AF22" t="s">
        <v>129</v>
      </c>
      <c r="AG22" s="8">
        <v>7.49</v>
      </c>
      <c r="AH22" s="8"/>
      <c r="AI22" s="8" t="s">
        <v>59</v>
      </c>
      <c r="AK22" s="31" t="s">
        <v>227</v>
      </c>
      <c r="AL22" t="s">
        <v>137</v>
      </c>
      <c r="AM22" s="8">
        <v>52.2</v>
      </c>
      <c r="AN22" s="8"/>
      <c r="AO22" s="38" t="s">
        <v>59</v>
      </c>
    </row>
    <row r="23" spans="1:41" x14ac:dyDescent="0.25">
      <c r="A23" s="31" t="s">
        <v>25</v>
      </c>
      <c r="B23" s="25" t="s">
        <v>18</v>
      </c>
      <c r="C23" s="8">
        <v>14.58</v>
      </c>
      <c r="D23" s="8">
        <v>17.64</v>
      </c>
      <c r="E23" t="s">
        <v>22</v>
      </c>
      <c r="I23" s="8"/>
      <c r="J23" s="8"/>
      <c r="M23" s="31" t="s">
        <v>210</v>
      </c>
      <c r="N23" t="s">
        <v>47</v>
      </c>
      <c r="O23" s="8">
        <v>22.8</v>
      </c>
      <c r="P23" s="8">
        <v>27.59</v>
      </c>
      <c r="Q23" t="s">
        <v>22</v>
      </c>
      <c r="S23" s="31" t="s">
        <v>126</v>
      </c>
      <c r="T23" t="s">
        <v>117</v>
      </c>
      <c r="U23" s="8">
        <v>19.899999999999999</v>
      </c>
      <c r="V23" s="8">
        <v>24.08</v>
      </c>
      <c r="W23" t="s">
        <v>22</v>
      </c>
      <c r="AA23" s="8"/>
      <c r="AB23" s="8"/>
      <c r="AE23" s="31" t="s">
        <v>148</v>
      </c>
      <c r="AF23" t="s">
        <v>129</v>
      </c>
      <c r="AG23" s="8">
        <v>12.95</v>
      </c>
      <c r="AH23" s="8"/>
      <c r="AI23" s="8" t="s">
        <v>59</v>
      </c>
      <c r="AK23" s="31" t="s">
        <v>228</v>
      </c>
      <c r="AL23" t="s">
        <v>137</v>
      </c>
      <c r="AM23" s="8">
        <v>37.799999999999997</v>
      </c>
      <c r="AN23" s="8"/>
      <c r="AO23" s="38" t="s">
        <v>59</v>
      </c>
    </row>
    <row r="24" spans="1:41" x14ac:dyDescent="0.25">
      <c r="A24" s="31" t="s">
        <v>26</v>
      </c>
      <c r="B24" s="25" t="s">
        <v>18</v>
      </c>
      <c r="C24" s="8">
        <v>23.77</v>
      </c>
      <c r="D24" s="8">
        <v>28.76</v>
      </c>
      <c r="E24" t="s">
        <v>22</v>
      </c>
      <c r="I24" s="8"/>
      <c r="J24" s="8"/>
      <c r="M24" s="31" t="s">
        <v>203</v>
      </c>
      <c r="N24" t="s">
        <v>47</v>
      </c>
      <c r="O24" s="8">
        <v>45</v>
      </c>
      <c r="P24" s="8">
        <v>54.45</v>
      </c>
      <c r="Q24" t="s">
        <v>22</v>
      </c>
      <c r="S24" s="31" t="s">
        <v>272</v>
      </c>
      <c r="T24" t="s">
        <v>117</v>
      </c>
      <c r="U24" s="8">
        <v>12.95</v>
      </c>
      <c r="V24" s="8">
        <v>15.67</v>
      </c>
      <c r="W24" t="s">
        <v>22</v>
      </c>
      <c r="AA24" s="8"/>
      <c r="AB24" s="8"/>
      <c r="AE24" s="31" t="s">
        <v>149</v>
      </c>
      <c r="AF24" t="s">
        <v>129</v>
      </c>
      <c r="AG24" s="8">
        <v>11.95</v>
      </c>
      <c r="AH24" s="8"/>
      <c r="AI24" s="8" t="s">
        <v>59</v>
      </c>
      <c r="AM24" s="8"/>
      <c r="AN24" s="8"/>
    </row>
    <row r="25" spans="1:41" x14ac:dyDescent="0.25">
      <c r="A25" s="31" t="s">
        <v>27</v>
      </c>
      <c r="B25" s="25" t="s">
        <v>18</v>
      </c>
      <c r="C25" s="8">
        <v>13.72</v>
      </c>
      <c r="D25" s="8">
        <v>16.600000000000001</v>
      </c>
      <c r="E25" t="s">
        <v>22</v>
      </c>
      <c r="I25" s="8"/>
      <c r="J25" s="8"/>
      <c r="M25" s="31" t="s">
        <v>206</v>
      </c>
      <c r="N25" t="s">
        <v>47</v>
      </c>
      <c r="O25" s="8">
        <v>44.3</v>
      </c>
      <c r="P25" s="8">
        <v>53.6</v>
      </c>
      <c r="Q25" t="s">
        <v>22</v>
      </c>
      <c r="S25" s="31" t="s">
        <v>263</v>
      </c>
      <c r="T25" t="s">
        <v>117</v>
      </c>
      <c r="U25" s="8">
        <v>13.76</v>
      </c>
      <c r="V25" s="8">
        <v>16.649999999999999</v>
      </c>
      <c r="W25" t="s">
        <v>22</v>
      </c>
      <c r="AA25" s="8"/>
      <c r="AB25" s="8"/>
      <c r="AE25" s="31" t="s">
        <v>150</v>
      </c>
      <c r="AF25" t="s">
        <v>129</v>
      </c>
      <c r="AG25" s="8">
        <v>11.69</v>
      </c>
      <c r="AH25" s="8"/>
      <c r="AI25" s="8" t="s">
        <v>59</v>
      </c>
      <c r="AM25" s="8"/>
      <c r="AN25" s="8"/>
    </row>
    <row r="26" spans="1:41" x14ac:dyDescent="0.25">
      <c r="A26" s="31" t="s">
        <v>31</v>
      </c>
      <c r="B26" s="25" t="s">
        <v>18</v>
      </c>
      <c r="C26" s="8">
        <v>11.56</v>
      </c>
      <c r="D26" s="8">
        <v>13.99</v>
      </c>
      <c r="E26" t="s">
        <v>22</v>
      </c>
      <c r="I26" s="8"/>
      <c r="J26" s="8"/>
      <c r="M26" s="31" t="s">
        <v>52</v>
      </c>
      <c r="N26" t="s">
        <v>47</v>
      </c>
      <c r="O26" s="8">
        <v>31.65</v>
      </c>
      <c r="P26" s="8">
        <v>38.299999999999997</v>
      </c>
      <c r="Q26" t="s">
        <v>22</v>
      </c>
      <c r="S26" s="31" t="s">
        <v>123</v>
      </c>
      <c r="T26" t="s">
        <v>117</v>
      </c>
      <c r="U26" s="8">
        <v>12.84</v>
      </c>
      <c r="V26" s="8">
        <v>15.54</v>
      </c>
      <c r="W26" t="s">
        <v>22</v>
      </c>
      <c r="AA26" s="8"/>
      <c r="AB26" s="8"/>
      <c r="AE26" s="31"/>
      <c r="AG26" s="8"/>
      <c r="AH26" s="8"/>
      <c r="AM26" s="8"/>
      <c r="AN26" s="8"/>
    </row>
    <row r="27" spans="1:41" x14ac:dyDescent="0.25">
      <c r="A27" s="31" t="s">
        <v>238</v>
      </c>
      <c r="B27" s="25" t="s">
        <v>18</v>
      </c>
      <c r="C27" s="8">
        <v>36.4</v>
      </c>
      <c r="D27" s="8">
        <v>44.04</v>
      </c>
      <c r="E27" t="s">
        <v>22</v>
      </c>
      <c r="I27" s="8"/>
      <c r="J27" s="8"/>
      <c r="O27" s="8"/>
      <c r="P27" s="8"/>
      <c r="S27" s="31" t="s">
        <v>256</v>
      </c>
      <c r="T27" t="s">
        <v>117</v>
      </c>
      <c r="U27" s="8">
        <v>13.1</v>
      </c>
      <c r="V27" s="8">
        <v>15.85</v>
      </c>
      <c r="W27" t="s">
        <v>22</v>
      </c>
      <c r="AA27" s="8"/>
      <c r="AB27" s="8"/>
      <c r="AE27" s="31"/>
      <c r="AG27" s="8"/>
      <c r="AH27" s="8"/>
      <c r="AM27" s="8"/>
      <c r="AN27" s="8"/>
    </row>
    <row r="28" spans="1:41" x14ac:dyDescent="0.25">
      <c r="A28" s="31" t="s">
        <v>242</v>
      </c>
      <c r="B28" s="25" t="s">
        <v>18</v>
      </c>
      <c r="C28" s="8">
        <v>20.53</v>
      </c>
      <c r="D28" s="8">
        <v>24.84</v>
      </c>
      <c r="E28" t="s">
        <v>22</v>
      </c>
      <c r="I28" s="8"/>
      <c r="J28" s="8"/>
      <c r="O28" s="8"/>
      <c r="P28" s="8"/>
      <c r="S28" s="31" t="s">
        <v>257</v>
      </c>
      <c r="T28" t="s">
        <v>117</v>
      </c>
      <c r="U28" s="8">
        <v>14.39</v>
      </c>
      <c r="V28" s="8">
        <v>17.41</v>
      </c>
      <c r="W28" t="s">
        <v>22</v>
      </c>
      <c r="AA28" s="8"/>
      <c r="AB28" s="8"/>
      <c r="AE28" s="31"/>
      <c r="AG28" s="8"/>
      <c r="AH28" s="8"/>
      <c r="AM28" s="8"/>
      <c r="AN28" s="8"/>
    </row>
    <row r="29" spans="1:41" x14ac:dyDescent="0.25">
      <c r="A29" s="31" t="s">
        <v>243</v>
      </c>
      <c r="B29" s="25" t="s">
        <v>18</v>
      </c>
      <c r="C29" s="8">
        <v>30.71</v>
      </c>
      <c r="D29" s="8">
        <v>37.159999999999997</v>
      </c>
      <c r="E29" t="s">
        <v>22</v>
      </c>
      <c r="I29" s="8"/>
      <c r="J29" s="8"/>
      <c r="O29" s="8"/>
      <c r="P29" s="8"/>
      <c r="S29" s="31" t="s">
        <v>258</v>
      </c>
      <c r="T29" t="s">
        <v>117</v>
      </c>
      <c r="U29" s="8">
        <v>14.39</v>
      </c>
      <c r="V29" s="8">
        <v>17.41</v>
      </c>
      <c r="W29" t="s">
        <v>22</v>
      </c>
      <c r="AA29" s="8"/>
      <c r="AB29" s="8"/>
      <c r="AE29" s="31"/>
      <c r="AG29" s="8"/>
      <c r="AH29" s="8"/>
      <c r="AM29" s="8"/>
      <c r="AN29" s="8"/>
    </row>
    <row r="30" spans="1:41" x14ac:dyDescent="0.25">
      <c r="A30" s="31" t="s">
        <v>35</v>
      </c>
      <c r="B30" s="25" t="s">
        <v>18</v>
      </c>
      <c r="C30" s="8">
        <v>40.6</v>
      </c>
      <c r="D30" s="8">
        <v>49.13</v>
      </c>
      <c r="E30" t="s">
        <v>22</v>
      </c>
      <c r="I30" s="8"/>
      <c r="J30" s="8"/>
      <c r="O30" s="8"/>
      <c r="P30" s="8"/>
      <c r="S30" s="31" t="s">
        <v>122</v>
      </c>
      <c r="T30" t="s">
        <v>117</v>
      </c>
      <c r="U30" s="8">
        <v>21.77</v>
      </c>
      <c r="V30" s="8">
        <v>26.34</v>
      </c>
      <c r="W30" t="s">
        <v>22</v>
      </c>
      <c r="AA30" s="8"/>
      <c r="AB30" s="8"/>
      <c r="AE30" s="31"/>
      <c r="AG30" s="8"/>
      <c r="AH30" s="8"/>
      <c r="AM30" s="8"/>
      <c r="AN30" s="8"/>
    </row>
    <row r="31" spans="1:41" x14ac:dyDescent="0.25">
      <c r="A31" s="31" t="s">
        <v>36</v>
      </c>
      <c r="B31" s="25" t="s">
        <v>18</v>
      </c>
      <c r="C31" s="8">
        <v>89.95</v>
      </c>
      <c r="D31" s="8">
        <v>108.84</v>
      </c>
      <c r="E31" t="s">
        <v>22</v>
      </c>
      <c r="I31" s="8"/>
      <c r="J31" s="8"/>
      <c r="O31" s="8"/>
      <c r="P31" s="8"/>
      <c r="U31" s="8"/>
      <c r="V31" s="8"/>
      <c r="AA31" s="8"/>
      <c r="AB31" s="8"/>
      <c r="AE31" s="31"/>
      <c r="AG31" s="8"/>
      <c r="AH31" s="8"/>
      <c r="AM31" s="8"/>
      <c r="AN31" s="8"/>
    </row>
    <row r="32" spans="1:41" x14ac:dyDescent="0.25">
      <c r="I32" s="8"/>
      <c r="J32" s="8"/>
      <c r="O32" s="8"/>
      <c r="P32" s="8"/>
      <c r="U32" s="8"/>
      <c r="V32" s="8"/>
      <c r="AA32" s="8"/>
      <c r="AB32" s="8"/>
      <c r="AE32" s="31"/>
      <c r="AG32" s="8"/>
      <c r="AH32" s="8"/>
      <c r="AM32" s="8"/>
      <c r="AN32" s="8"/>
    </row>
    <row r="33" spans="1:40" x14ac:dyDescent="0.25">
      <c r="I33" s="8"/>
      <c r="J33" s="8"/>
      <c r="O33" s="8"/>
      <c r="P33" s="8"/>
      <c r="U33" s="8"/>
      <c r="V33" s="8"/>
      <c r="AA33" s="8"/>
      <c r="AB33" s="8"/>
      <c r="AE33" s="31"/>
      <c r="AG33" s="8"/>
      <c r="AH33" s="8"/>
      <c r="AM33" s="8"/>
      <c r="AN33" s="8"/>
    </row>
    <row r="34" spans="1:40" x14ac:dyDescent="0.25">
      <c r="I34" s="8"/>
      <c r="J34" s="8"/>
      <c r="O34" s="8"/>
      <c r="P34" s="8"/>
      <c r="U34" s="8"/>
      <c r="V34" s="8"/>
      <c r="AA34" s="8"/>
      <c r="AB34" s="8"/>
      <c r="AC34" s="38"/>
      <c r="AE34" s="31"/>
      <c r="AG34" s="8"/>
      <c r="AH34" s="8"/>
      <c r="AM34" s="8"/>
      <c r="AN34" s="8"/>
    </row>
    <row r="35" spans="1:40" x14ac:dyDescent="0.25">
      <c r="I35" s="8"/>
      <c r="J35" s="8"/>
      <c r="O35" s="8"/>
      <c r="P35" s="8"/>
      <c r="U35" s="8"/>
      <c r="V35" s="8"/>
      <c r="AA35" s="8"/>
      <c r="AB35" s="8"/>
      <c r="AE35" s="31"/>
      <c r="AG35" s="8"/>
      <c r="AH35" s="8"/>
      <c r="AM35" s="8"/>
      <c r="AN35" s="8"/>
    </row>
    <row r="36" spans="1:40" x14ac:dyDescent="0.25">
      <c r="I36" s="8"/>
      <c r="J36" s="8"/>
      <c r="O36" s="8"/>
      <c r="P36" s="8"/>
      <c r="S36" s="31" t="s">
        <v>154</v>
      </c>
      <c r="T36" t="s">
        <v>117</v>
      </c>
      <c r="U36" s="8">
        <v>11.39</v>
      </c>
      <c r="V36" s="8"/>
      <c r="W36" s="8" t="s">
        <v>59</v>
      </c>
      <c r="AA36" s="8"/>
      <c r="AB36" s="8"/>
      <c r="AE36" s="31"/>
      <c r="AG36" s="8"/>
      <c r="AH36" s="8"/>
      <c r="AM36" s="8"/>
      <c r="AN36" s="8"/>
    </row>
    <row r="37" spans="1:40" x14ac:dyDescent="0.25">
      <c r="I37" s="8"/>
      <c r="J37" s="8"/>
      <c r="O37" s="8"/>
      <c r="P37" s="8"/>
      <c r="S37" s="31" t="s">
        <v>155</v>
      </c>
      <c r="T37" t="s">
        <v>117</v>
      </c>
      <c r="U37" s="8">
        <v>19.62</v>
      </c>
      <c r="V37" s="8"/>
      <c r="W37" s="8" t="s">
        <v>59</v>
      </c>
      <c r="AA37" s="8"/>
      <c r="AB37" s="8"/>
      <c r="AE37" s="31"/>
      <c r="AG37" s="8"/>
      <c r="AH37" s="8"/>
      <c r="AM37" s="8"/>
      <c r="AN37" s="8"/>
    </row>
    <row r="38" spans="1:40" x14ac:dyDescent="0.25">
      <c r="I38" s="8"/>
      <c r="J38" s="8"/>
      <c r="O38" s="8"/>
      <c r="P38" s="8"/>
      <c r="S38" s="31" t="s">
        <v>156</v>
      </c>
      <c r="T38" t="s">
        <v>117</v>
      </c>
      <c r="U38" s="8">
        <v>10.45</v>
      </c>
      <c r="V38" s="8"/>
      <c r="W38" s="8" t="s">
        <v>59</v>
      </c>
      <c r="AA38" s="8"/>
      <c r="AB38" s="8"/>
      <c r="AE38" s="31"/>
      <c r="AG38" s="8"/>
      <c r="AH38" s="8"/>
      <c r="AM38" s="8"/>
      <c r="AN38" s="8"/>
    </row>
    <row r="39" spans="1:40" x14ac:dyDescent="0.25">
      <c r="I39" s="8"/>
      <c r="J39" s="8"/>
      <c r="O39" s="8"/>
      <c r="P39" s="8"/>
      <c r="S39" s="31" t="s">
        <v>157</v>
      </c>
      <c r="T39" t="s">
        <v>117</v>
      </c>
      <c r="U39" s="8">
        <v>16.850000000000001</v>
      </c>
      <c r="V39" s="8"/>
      <c r="W39" s="8" t="s">
        <v>59</v>
      </c>
      <c r="AA39" s="8"/>
      <c r="AB39" s="8"/>
      <c r="AE39" s="31"/>
      <c r="AG39" s="8"/>
      <c r="AH39" s="8"/>
      <c r="AM39" s="8"/>
      <c r="AN39" s="8"/>
    </row>
    <row r="40" spans="1:40" x14ac:dyDescent="0.25">
      <c r="A40" s="33" t="s">
        <v>61</v>
      </c>
      <c r="B40" s="25" t="s">
        <v>18</v>
      </c>
      <c r="C40" s="26">
        <v>8.98</v>
      </c>
      <c r="E40" s="26" t="s">
        <v>59</v>
      </c>
      <c r="I40" s="8"/>
      <c r="J40" s="8"/>
      <c r="M40" s="31" t="s">
        <v>95</v>
      </c>
      <c r="N40" t="s">
        <v>47</v>
      </c>
      <c r="O40" s="8">
        <v>9.65</v>
      </c>
      <c r="P40" s="8"/>
      <c r="Q40" s="8" t="s">
        <v>59</v>
      </c>
      <c r="S40" s="31" t="s">
        <v>158</v>
      </c>
      <c r="T40" t="s">
        <v>117</v>
      </c>
      <c r="U40" s="8">
        <v>26.39</v>
      </c>
      <c r="V40" s="8"/>
      <c r="W40" s="8" t="s">
        <v>59</v>
      </c>
      <c r="AA40" s="8"/>
      <c r="AB40" s="8"/>
      <c r="AE40" s="31"/>
      <c r="AG40" s="8"/>
      <c r="AH40" s="8"/>
      <c r="AM40" s="8"/>
      <c r="AN40" s="8"/>
    </row>
    <row r="41" spans="1:40" x14ac:dyDescent="0.25">
      <c r="A41" s="33" t="s">
        <v>62</v>
      </c>
      <c r="B41" s="25" t="s">
        <v>18</v>
      </c>
      <c r="C41" s="26">
        <v>13.69</v>
      </c>
      <c r="E41" s="26" t="s">
        <v>59</v>
      </c>
      <c r="I41" s="8"/>
      <c r="J41" s="8"/>
      <c r="M41" s="31" t="s">
        <v>96</v>
      </c>
      <c r="N41" t="s">
        <v>47</v>
      </c>
      <c r="O41" s="8">
        <v>11.15</v>
      </c>
      <c r="P41" s="8"/>
      <c r="Q41" s="8" t="s">
        <v>59</v>
      </c>
      <c r="S41" s="31" t="s">
        <v>159</v>
      </c>
      <c r="T41" t="s">
        <v>117</v>
      </c>
      <c r="U41" s="8">
        <v>16.25</v>
      </c>
      <c r="V41" s="8"/>
      <c r="W41" s="8" t="s">
        <v>59</v>
      </c>
      <c r="AA41" s="8"/>
      <c r="AB41" s="8"/>
      <c r="AC41" s="38"/>
      <c r="AE41" s="31"/>
      <c r="AG41" s="8"/>
      <c r="AH41" s="8"/>
      <c r="AM41" s="8"/>
      <c r="AN41" s="8"/>
    </row>
    <row r="42" spans="1:40" x14ac:dyDescent="0.25">
      <c r="A42" s="33" t="s">
        <v>63</v>
      </c>
      <c r="B42" s="25" t="s">
        <v>18</v>
      </c>
      <c r="C42" s="26">
        <v>11.59</v>
      </c>
      <c r="E42" s="26" t="s">
        <v>59</v>
      </c>
      <c r="I42" s="8"/>
      <c r="J42" s="8"/>
      <c r="M42" s="31" t="s">
        <v>97</v>
      </c>
      <c r="N42" t="s">
        <v>47</v>
      </c>
      <c r="O42" s="8">
        <v>15.95</v>
      </c>
      <c r="P42" s="8"/>
      <c r="Q42" s="8" t="s">
        <v>59</v>
      </c>
      <c r="S42" s="31" t="s">
        <v>160</v>
      </c>
      <c r="T42" t="s">
        <v>117</v>
      </c>
      <c r="U42" s="8">
        <v>17.5</v>
      </c>
      <c r="V42" s="8"/>
      <c r="W42" s="8" t="s">
        <v>59</v>
      </c>
      <c r="AA42" s="8"/>
      <c r="AB42" s="8"/>
      <c r="AC42" s="38"/>
      <c r="AE42" s="31"/>
      <c r="AG42" s="8"/>
      <c r="AH42" s="8"/>
      <c r="AM42" s="8"/>
      <c r="AN42" s="8"/>
    </row>
    <row r="43" spans="1:40" x14ac:dyDescent="0.25">
      <c r="A43" s="33" t="s">
        <v>64</v>
      </c>
      <c r="B43" s="25" t="s">
        <v>18</v>
      </c>
      <c r="C43" s="26">
        <v>11.99</v>
      </c>
      <c r="E43" s="26" t="s">
        <v>59</v>
      </c>
      <c r="I43" s="8"/>
      <c r="J43" s="8"/>
      <c r="M43" s="31" t="s">
        <v>98</v>
      </c>
      <c r="N43" t="s">
        <v>47</v>
      </c>
      <c r="O43" s="8">
        <v>18.350000000000001</v>
      </c>
      <c r="P43" s="8"/>
      <c r="Q43" s="8" t="s">
        <v>59</v>
      </c>
      <c r="S43" s="31" t="s">
        <v>161</v>
      </c>
      <c r="T43" t="s">
        <v>117</v>
      </c>
      <c r="U43" s="8">
        <v>25.9</v>
      </c>
      <c r="V43" s="8"/>
      <c r="W43" s="8" t="s">
        <v>59</v>
      </c>
      <c r="AA43" s="8"/>
      <c r="AB43" s="8"/>
      <c r="AE43" s="31"/>
      <c r="AG43" s="8"/>
      <c r="AH43" s="8"/>
      <c r="AM43" s="8"/>
      <c r="AN43" s="8"/>
    </row>
    <row r="44" spans="1:40" x14ac:dyDescent="0.25">
      <c r="A44" s="33" t="s">
        <v>65</v>
      </c>
      <c r="B44" s="25" t="s">
        <v>18</v>
      </c>
      <c r="C44" s="26">
        <v>21.95</v>
      </c>
      <c r="E44" s="26" t="s">
        <v>59</v>
      </c>
      <c r="I44" s="8"/>
      <c r="J44" s="8"/>
      <c r="M44" s="31" t="s">
        <v>99</v>
      </c>
      <c r="N44" t="s">
        <v>47</v>
      </c>
      <c r="O44" s="8">
        <v>39.4</v>
      </c>
      <c r="P44" s="8"/>
      <c r="Q44" s="8" t="s">
        <v>59</v>
      </c>
      <c r="S44" s="31" t="s">
        <v>162</v>
      </c>
      <c r="T44" t="s">
        <v>117</v>
      </c>
      <c r="U44" s="8"/>
      <c r="V44" s="8"/>
      <c r="W44" s="8" t="s">
        <v>59</v>
      </c>
      <c r="AA44" s="8"/>
      <c r="AB44" s="8"/>
      <c r="AC44" s="38"/>
      <c r="AE44" s="31"/>
      <c r="AG44" s="8"/>
      <c r="AH44" s="8"/>
      <c r="AM44" s="8"/>
      <c r="AN44" s="8"/>
    </row>
    <row r="45" spans="1:40" x14ac:dyDescent="0.25">
      <c r="A45" s="33" t="s">
        <v>66</v>
      </c>
      <c r="B45" s="25" t="s">
        <v>18</v>
      </c>
      <c r="C45" s="26">
        <v>46.65</v>
      </c>
      <c r="E45" s="26" t="s">
        <v>59</v>
      </c>
      <c r="I45" s="8"/>
      <c r="J45" s="8"/>
      <c r="M45" s="31" t="s">
        <v>100</v>
      </c>
      <c r="N45" t="s">
        <v>47</v>
      </c>
      <c r="O45" s="8">
        <v>9.5399999999999991</v>
      </c>
      <c r="P45" s="8"/>
      <c r="Q45" s="8" t="s">
        <v>59</v>
      </c>
      <c r="S45" s="31" t="s">
        <v>163</v>
      </c>
      <c r="T45" t="s">
        <v>117</v>
      </c>
      <c r="U45" s="8">
        <v>8.75</v>
      </c>
      <c r="V45" s="8"/>
      <c r="W45" s="8" t="s">
        <v>59</v>
      </c>
      <c r="AE45" s="31"/>
      <c r="AG45" s="8"/>
      <c r="AH45" s="8"/>
      <c r="AM45" s="8"/>
      <c r="AN45" s="8"/>
    </row>
    <row r="46" spans="1:40" x14ac:dyDescent="0.25">
      <c r="A46" s="33" t="s">
        <v>67</v>
      </c>
      <c r="B46" s="25" t="s">
        <v>18</v>
      </c>
      <c r="C46" s="26">
        <v>105</v>
      </c>
      <c r="E46" s="26" t="s">
        <v>59</v>
      </c>
      <c r="I46" s="8"/>
      <c r="J46" s="8"/>
      <c r="M46" s="31" t="s">
        <v>101</v>
      </c>
      <c r="N46" t="s">
        <v>47</v>
      </c>
      <c r="O46" s="8">
        <v>10.25</v>
      </c>
      <c r="P46" s="8"/>
      <c r="Q46" s="8" t="s">
        <v>59</v>
      </c>
      <c r="S46" s="31" t="s">
        <v>164</v>
      </c>
      <c r="T46" t="s">
        <v>117</v>
      </c>
      <c r="U46" s="8">
        <v>22.9</v>
      </c>
      <c r="V46" s="8"/>
      <c r="W46" s="8" t="s">
        <v>59</v>
      </c>
      <c r="AE46" s="31"/>
      <c r="AG46" s="8"/>
      <c r="AH46" s="8"/>
      <c r="AM46" s="8"/>
      <c r="AN46" s="8"/>
    </row>
    <row r="47" spans="1:40" x14ac:dyDescent="0.25">
      <c r="A47" s="33" t="s">
        <v>68</v>
      </c>
      <c r="B47" s="25" t="s">
        <v>18</v>
      </c>
      <c r="C47" s="26">
        <v>10.99</v>
      </c>
      <c r="E47" s="26" t="s">
        <v>59</v>
      </c>
      <c r="I47" s="8"/>
      <c r="J47" s="8"/>
      <c r="M47" s="31" t="s">
        <v>102</v>
      </c>
      <c r="N47" t="s">
        <v>47</v>
      </c>
      <c r="O47" s="8">
        <v>35.9</v>
      </c>
      <c r="P47" s="8"/>
      <c r="Q47" s="8" t="s">
        <v>59</v>
      </c>
      <c r="S47" s="31" t="s">
        <v>165</v>
      </c>
      <c r="T47" t="s">
        <v>117</v>
      </c>
      <c r="U47" s="8">
        <v>24.9</v>
      </c>
      <c r="V47" s="8"/>
      <c r="W47" s="8" t="s">
        <v>59</v>
      </c>
      <c r="AE47" s="31"/>
      <c r="AG47" s="8"/>
      <c r="AH47" s="8"/>
      <c r="AM47" s="8"/>
      <c r="AN47" s="8"/>
    </row>
    <row r="48" spans="1:40" x14ac:dyDescent="0.25">
      <c r="A48" s="33" t="s">
        <v>69</v>
      </c>
      <c r="B48" s="25" t="s">
        <v>18</v>
      </c>
      <c r="C48" s="26">
        <v>14.99</v>
      </c>
      <c r="E48" s="26" t="s">
        <v>59</v>
      </c>
      <c r="I48" s="8"/>
      <c r="J48" s="8"/>
      <c r="M48" s="31" t="s">
        <v>103</v>
      </c>
      <c r="N48" t="s">
        <v>47</v>
      </c>
      <c r="O48" s="8">
        <v>16.989999999999998</v>
      </c>
      <c r="P48" s="8"/>
      <c r="Q48" s="8" t="s">
        <v>59</v>
      </c>
      <c r="S48" s="31" t="s">
        <v>166</v>
      </c>
      <c r="T48" t="s">
        <v>117</v>
      </c>
      <c r="U48" s="8">
        <v>11.5</v>
      </c>
      <c r="V48" s="8"/>
      <c r="W48" s="8" t="s">
        <v>59</v>
      </c>
      <c r="AE48" s="31"/>
      <c r="AG48" s="8"/>
      <c r="AH48" s="8"/>
      <c r="AM48" s="8"/>
      <c r="AN48" s="8"/>
    </row>
    <row r="49" spans="1:40" x14ac:dyDescent="0.25">
      <c r="A49" s="33" t="s">
        <v>70</v>
      </c>
      <c r="B49" s="25" t="s">
        <v>18</v>
      </c>
      <c r="C49" s="26">
        <v>10.75</v>
      </c>
      <c r="E49" s="26" t="s">
        <v>59</v>
      </c>
      <c r="I49" s="8"/>
      <c r="J49" s="8"/>
      <c r="M49" s="31" t="s">
        <v>104</v>
      </c>
      <c r="N49" t="s">
        <v>47</v>
      </c>
      <c r="O49" s="8">
        <v>13.69</v>
      </c>
      <c r="P49" s="8"/>
      <c r="Q49" s="8" t="s">
        <v>59</v>
      </c>
      <c r="S49" s="31" t="s">
        <v>167</v>
      </c>
      <c r="T49" t="s">
        <v>117</v>
      </c>
      <c r="U49" s="8">
        <v>29.95</v>
      </c>
      <c r="V49" s="8"/>
      <c r="W49" s="8" t="s">
        <v>59</v>
      </c>
      <c r="AE49" s="31"/>
      <c r="AG49" s="8"/>
      <c r="AH49" s="8"/>
      <c r="AM49" s="8"/>
      <c r="AN49" s="8"/>
    </row>
    <row r="50" spans="1:40" x14ac:dyDescent="0.25">
      <c r="A50" s="33" t="s">
        <v>71</v>
      </c>
      <c r="B50" s="25" t="s">
        <v>18</v>
      </c>
      <c r="C50" s="26">
        <v>20.95</v>
      </c>
      <c r="E50" s="26" t="s">
        <v>59</v>
      </c>
      <c r="I50" s="8"/>
      <c r="J50" s="8"/>
      <c r="M50" s="31" t="s">
        <v>50</v>
      </c>
      <c r="N50" t="s">
        <v>47</v>
      </c>
      <c r="O50" s="8">
        <v>9.98</v>
      </c>
      <c r="P50" s="8"/>
      <c r="Q50" s="8" t="s">
        <v>59</v>
      </c>
      <c r="S50" s="31" t="s">
        <v>168</v>
      </c>
      <c r="T50" t="s">
        <v>117</v>
      </c>
      <c r="U50" s="8">
        <v>21.89</v>
      </c>
      <c r="V50" s="8"/>
      <c r="W50" s="8" t="s">
        <v>59</v>
      </c>
      <c r="AE50" s="31"/>
      <c r="AG50" s="8"/>
      <c r="AH50" s="8"/>
      <c r="AM50" s="8"/>
      <c r="AN50" s="8"/>
    </row>
    <row r="51" spans="1:40" x14ac:dyDescent="0.25">
      <c r="A51" s="33" t="s">
        <v>72</v>
      </c>
      <c r="B51" s="25" t="s">
        <v>18</v>
      </c>
      <c r="C51" s="26">
        <v>26.2</v>
      </c>
      <c r="E51" s="26" t="s">
        <v>59</v>
      </c>
      <c r="I51" s="8"/>
      <c r="J51" s="8"/>
      <c r="M51" s="31" t="s">
        <v>105</v>
      </c>
      <c r="N51" t="s">
        <v>47</v>
      </c>
      <c r="O51" s="8">
        <v>10.95</v>
      </c>
      <c r="P51" s="8"/>
      <c r="Q51" s="8" t="s">
        <v>59</v>
      </c>
      <c r="S51" s="31" t="s">
        <v>213</v>
      </c>
      <c r="T51" t="s">
        <v>117</v>
      </c>
      <c r="U51" s="8">
        <v>26.45</v>
      </c>
      <c r="V51" s="8"/>
      <c r="W51" s="22" t="s">
        <v>59</v>
      </c>
      <c r="AE51" s="31"/>
      <c r="AG51" s="8"/>
      <c r="AH51" s="8"/>
      <c r="AM51" s="8"/>
      <c r="AN51" s="8"/>
    </row>
    <row r="52" spans="1:40" x14ac:dyDescent="0.25">
      <c r="A52" s="33" t="s">
        <v>34</v>
      </c>
      <c r="B52" s="25" t="s">
        <v>18</v>
      </c>
      <c r="C52" s="26"/>
      <c r="E52" s="26" t="s">
        <v>59</v>
      </c>
      <c r="I52" s="8"/>
      <c r="J52" s="8"/>
      <c r="M52" s="31" t="s">
        <v>106</v>
      </c>
      <c r="N52" t="s">
        <v>47</v>
      </c>
      <c r="O52" s="8">
        <v>21.59</v>
      </c>
      <c r="P52" s="8"/>
      <c r="Q52" s="8" t="s">
        <v>59</v>
      </c>
      <c r="S52" s="31" t="s">
        <v>169</v>
      </c>
      <c r="T52" t="s">
        <v>117</v>
      </c>
      <c r="U52" s="8">
        <v>18.96</v>
      </c>
      <c r="V52" s="8"/>
      <c r="W52" s="8" t="s">
        <v>59</v>
      </c>
      <c r="AE52" s="31"/>
      <c r="AG52" s="8"/>
      <c r="AH52" s="8"/>
      <c r="AM52" s="8"/>
      <c r="AN52" s="8"/>
    </row>
    <row r="53" spans="1:40" x14ac:dyDescent="0.25">
      <c r="A53" s="33" t="s">
        <v>73</v>
      </c>
      <c r="B53" s="25" t="s">
        <v>18</v>
      </c>
      <c r="C53" s="26">
        <v>20.36</v>
      </c>
      <c r="E53" s="26" t="s">
        <v>59</v>
      </c>
      <c r="I53" s="8"/>
      <c r="J53" s="8"/>
      <c r="M53" s="31" t="s">
        <v>107</v>
      </c>
      <c r="N53" t="s">
        <v>47</v>
      </c>
      <c r="O53" s="8">
        <v>45.2</v>
      </c>
      <c r="P53" s="8"/>
      <c r="Q53" s="8" t="s">
        <v>59</v>
      </c>
      <c r="S53" s="31" t="s">
        <v>170</v>
      </c>
      <c r="T53" t="s">
        <v>117</v>
      </c>
      <c r="U53" s="8">
        <v>10.89</v>
      </c>
      <c r="V53" s="8"/>
      <c r="W53" s="8" t="s">
        <v>59</v>
      </c>
      <c r="AE53" s="31"/>
      <c r="AG53" s="8"/>
      <c r="AH53" s="8"/>
      <c r="AM53" s="8"/>
      <c r="AN53" s="8"/>
    </row>
    <row r="54" spans="1:40" x14ac:dyDescent="0.25">
      <c r="A54" s="33" t="s">
        <v>74</v>
      </c>
      <c r="B54" s="25" t="s">
        <v>18</v>
      </c>
      <c r="C54" s="26">
        <v>14.95</v>
      </c>
      <c r="E54" s="26" t="s">
        <v>59</v>
      </c>
      <c r="I54" s="8"/>
      <c r="J54" s="8"/>
      <c r="M54" s="31" t="s">
        <v>108</v>
      </c>
      <c r="N54" t="s">
        <v>47</v>
      </c>
      <c r="O54" s="8">
        <v>75.95</v>
      </c>
      <c r="P54" s="8"/>
      <c r="Q54" s="8" t="s">
        <v>59</v>
      </c>
      <c r="S54" s="31" t="s">
        <v>171</v>
      </c>
      <c r="T54" t="s">
        <v>117</v>
      </c>
      <c r="U54" s="8">
        <v>9.9499999999999993</v>
      </c>
      <c r="V54" s="8"/>
      <c r="W54" s="8" t="s">
        <v>59</v>
      </c>
      <c r="AE54" s="31"/>
      <c r="AG54" s="8"/>
      <c r="AH54" s="8"/>
      <c r="AM54" s="8"/>
      <c r="AN54" s="8"/>
    </row>
    <row r="55" spans="1:40" x14ac:dyDescent="0.25">
      <c r="A55" s="33" t="s">
        <v>75</v>
      </c>
      <c r="B55" s="25" t="s">
        <v>18</v>
      </c>
      <c r="C55" s="26">
        <v>47.9</v>
      </c>
      <c r="E55" s="26" t="s">
        <v>59</v>
      </c>
      <c r="I55" s="8"/>
      <c r="J55" s="8"/>
      <c r="M55" s="31" t="s">
        <v>109</v>
      </c>
      <c r="N55" t="s">
        <v>47</v>
      </c>
      <c r="O55" s="8">
        <v>52.8</v>
      </c>
      <c r="P55" s="8"/>
      <c r="Q55" s="8" t="s">
        <v>59</v>
      </c>
      <c r="S55" s="31" t="s">
        <v>172</v>
      </c>
      <c r="T55" t="s">
        <v>117</v>
      </c>
      <c r="U55" s="8">
        <v>10.95</v>
      </c>
      <c r="V55" s="8"/>
      <c r="W55" s="8" t="s">
        <v>59</v>
      </c>
      <c r="AE55" s="31"/>
      <c r="AG55" s="8"/>
      <c r="AH55" s="8"/>
      <c r="AM55" s="8"/>
      <c r="AN55" s="8"/>
    </row>
    <row r="56" spans="1:40" x14ac:dyDescent="0.25">
      <c r="A56" s="33" t="s">
        <v>76</v>
      </c>
      <c r="B56" s="25" t="s">
        <v>18</v>
      </c>
      <c r="C56" s="26">
        <v>19.399999999999999</v>
      </c>
      <c r="E56" s="26" t="s">
        <v>59</v>
      </c>
      <c r="I56" s="8"/>
      <c r="J56" s="8"/>
      <c r="M56" s="31" t="s">
        <v>110</v>
      </c>
      <c r="N56" t="s">
        <v>47</v>
      </c>
      <c r="O56" s="8">
        <v>59.25</v>
      </c>
      <c r="P56" s="8"/>
      <c r="Q56" s="8" t="s">
        <v>59</v>
      </c>
      <c r="S56" s="31" t="s">
        <v>173</v>
      </c>
      <c r="T56" t="s">
        <v>117</v>
      </c>
      <c r="U56" s="8">
        <v>31.25</v>
      </c>
      <c r="V56" s="8"/>
      <c r="W56" s="8" t="s">
        <v>59</v>
      </c>
      <c r="AE56" s="31"/>
      <c r="AG56" s="8"/>
      <c r="AH56" s="8"/>
      <c r="AM56" s="8"/>
      <c r="AN56" s="8"/>
    </row>
    <row r="57" spans="1:40" x14ac:dyDescent="0.25">
      <c r="A57" s="33" t="s">
        <v>77</v>
      </c>
      <c r="B57" s="25" t="s">
        <v>18</v>
      </c>
      <c r="C57" s="26">
        <v>9.9499999999999993</v>
      </c>
      <c r="E57" s="26" t="s">
        <v>59</v>
      </c>
      <c r="I57" s="8"/>
      <c r="J57" s="8"/>
      <c r="M57" s="31" t="s">
        <v>111</v>
      </c>
      <c r="N57" t="s">
        <v>47</v>
      </c>
      <c r="O57" s="8"/>
      <c r="P57" s="8"/>
      <c r="Q57" s="8" t="s">
        <v>59</v>
      </c>
      <c r="S57" s="31" t="s">
        <v>174</v>
      </c>
      <c r="T57" t="s">
        <v>117</v>
      </c>
      <c r="U57" s="8">
        <v>19.850000000000001</v>
      </c>
      <c r="V57" s="8"/>
      <c r="W57" s="8" t="s">
        <v>59</v>
      </c>
      <c r="AE57" s="31"/>
      <c r="AG57" s="8"/>
      <c r="AH57" s="8"/>
      <c r="AM57" s="8"/>
      <c r="AN57" s="8"/>
    </row>
    <row r="58" spans="1:40" x14ac:dyDescent="0.25">
      <c r="A58" s="33" t="s">
        <v>78</v>
      </c>
      <c r="B58" s="25" t="s">
        <v>18</v>
      </c>
      <c r="C58" s="26">
        <v>16.95</v>
      </c>
      <c r="E58" s="26" t="s">
        <v>59</v>
      </c>
      <c r="I58" s="8"/>
      <c r="J58" s="8"/>
      <c r="M58" s="31" t="s">
        <v>112</v>
      </c>
      <c r="N58" t="s">
        <v>47</v>
      </c>
      <c r="O58" s="8">
        <v>30.9</v>
      </c>
      <c r="P58" s="8"/>
      <c r="Q58" s="8" t="s">
        <v>59</v>
      </c>
      <c r="S58" s="31" t="s">
        <v>175</v>
      </c>
      <c r="T58" t="s">
        <v>117</v>
      </c>
      <c r="U58" s="8">
        <v>21.8</v>
      </c>
      <c r="V58" s="8"/>
      <c r="W58" s="8" t="s">
        <v>59</v>
      </c>
      <c r="AE58" s="31"/>
      <c r="AG58" s="8"/>
      <c r="AH58" s="8"/>
    </row>
    <row r="59" spans="1:40" x14ac:dyDescent="0.25">
      <c r="A59" s="33" t="s">
        <v>79</v>
      </c>
      <c r="B59" s="25" t="s">
        <v>18</v>
      </c>
      <c r="C59" s="26">
        <v>12.49</v>
      </c>
      <c r="E59" s="26" t="s">
        <v>59</v>
      </c>
      <c r="I59" s="8"/>
      <c r="J59" s="8"/>
      <c r="M59" s="31" t="s">
        <v>113</v>
      </c>
      <c r="N59" t="s">
        <v>47</v>
      </c>
      <c r="O59" s="8">
        <v>36.450000000000003</v>
      </c>
      <c r="P59" s="8"/>
      <c r="Q59" s="8" t="s">
        <v>59</v>
      </c>
      <c r="S59" s="31" t="s">
        <v>176</v>
      </c>
      <c r="T59" t="s">
        <v>117</v>
      </c>
      <c r="U59" s="8">
        <v>12.59</v>
      </c>
      <c r="V59" s="8"/>
      <c r="W59" s="8" t="s">
        <v>59</v>
      </c>
      <c r="AE59" s="31"/>
      <c r="AG59" s="8"/>
      <c r="AH59" s="8"/>
    </row>
    <row r="60" spans="1:40" x14ac:dyDescent="0.25">
      <c r="A60" s="33" t="s">
        <v>80</v>
      </c>
      <c r="B60" s="25" t="s">
        <v>18</v>
      </c>
      <c r="C60" s="26">
        <v>9.59</v>
      </c>
      <c r="E60" s="26" t="s">
        <v>59</v>
      </c>
      <c r="I60" s="8"/>
      <c r="J60" s="8"/>
      <c r="M60" s="31" t="s">
        <v>116</v>
      </c>
      <c r="N60" t="s">
        <v>47</v>
      </c>
      <c r="O60" s="8">
        <v>10.95</v>
      </c>
      <c r="P60" s="8"/>
      <c r="Q60" s="8" t="s">
        <v>59</v>
      </c>
      <c r="S60" s="31" t="s">
        <v>177</v>
      </c>
      <c r="T60" t="s">
        <v>117</v>
      </c>
      <c r="U60" s="8">
        <v>12.79</v>
      </c>
      <c r="V60" s="8"/>
      <c r="W60" s="8" t="s">
        <v>59</v>
      </c>
      <c r="AE60" s="31"/>
      <c r="AG60" s="8"/>
      <c r="AH60" s="8"/>
    </row>
    <row r="61" spans="1:40" x14ac:dyDescent="0.25">
      <c r="A61" s="33" t="s">
        <v>81</v>
      </c>
      <c r="B61" s="25" t="s">
        <v>18</v>
      </c>
      <c r="C61" s="26">
        <v>19.8</v>
      </c>
      <c r="E61" s="26" t="s">
        <v>59</v>
      </c>
      <c r="M61" s="31" t="s">
        <v>114</v>
      </c>
      <c r="N61" t="s">
        <v>47</v>
      </c>
      <c r="O61" s="8">
        <v>159.85</v>
      </c>
      <c r="P61" s="8"/>
      <c r="Q61" s="8" t="s">
        <v>59</v>
      </c>
      <c r="S61" s="31" t="s">
        <v>178</v>
      </c>
      <c r="T61" t="s">
        <v>117</v>
      </c>
      <c r="U61" s="8">
        <v>12.25</v>
      </c>
      <c r="V61" s="8"/>
      <c r="W61" s="8" t="s">
        <v>59</v>
      </c>
      <c r="AE61" s="31"/>
      <c r="AG61" s="8"/>
      <c r="AH61" s="8"/>
    </row>
    <row r="62" spans="1:40" x14ac:dyDescent="0.25">
      <c r="A62" s="33" t="s">
        <v>82</v>
      </c>
      <c r="B62" s="25" t="s">
        <v>18</v>
      </c>
      <c r="C62" s="26">
        <v>13.25</v>
      </c>
      <c r="E62" s="26" t="s">
        <v>59</v>
      </c>
      <c r="M62" s="31" t="s">
        <v>115</v>
      </c>
      <c r="N62" t="s">
        <v>47</v>
      </c>
      <c r="O62" s="8">
        <v>83.5</v>
      </c>
      <c r="P62" s="8"/>
      <c r="Q62" s="8" t="s">
        <v>59</v>
      </c>
      <c r="S62" s="31" t="s">
        <v>179</v>
      </c>
      <c r="T62" t="s">
        <v>117</v>
      </c>
      <c r="U62" s="8">
        <v>12.25</v>
      </c>
      <c r="V62" s="8"/>
      <c r="W62" s="8" t="s">
        <v>59</v>
      </c>
      <c r="AE62" s="31"/>
      <c r="AG62" s="8"/>
      <c r="AH62" s="8"/>
    </row>
    <row r="63" spans="1:40" x14ac:dyDescent="0.25">
      <c r="A63" s="33" t="s">
        <v>83</v>
      </c>
      <c r="B63" s="25" t="s">
        <v>18</v>
      </c>
      <c r="C63" s="26"/>
      <c r="E63" s="26" t="s">
        <v>59</v>
      </c>
      <c r="O63" s="8"/>
      <c r="P63" s="8"/>
      <c r="S63" s="31" t="s">
        <v>180</v>
      </c>
      <c r="T63" t="s">
        <v>117</v>
      </c>
      <c r="U63" s="8">
        <v>16.2</v>
      </c>
      <c r="V63" s="8"/>
      <c r="W63" s="8" t="s">
        <v>59</v>
      </c>
      <c r="AE63" s="31"/>
      <c r="AG63" s="8"/>
      <c r="AH63" s="8"/>
    </row>
    <row r="64" spans="1:40" x14ac:dyDescent="0.25">
      <c r="A64" s="33" t="s">
        <v>84</v>
      </c>
      <c r="B64" s="25" t="s">
        <v>18</v>
      </c>
      <c r="C64" s="26">
        <v>12.95</v>
      </c>
      <c r="E64" s="26" t="s">
        <v>59</v>
      </c>
      <c r="O64" s="8"/>
      <c r="P64" s="8"/>
      <c r="S64" s="31" t="s">
        <v>181</v>
      </c>
      <c r="T64" t="s">
        <v>117</v>
      </c>
      <c r="U64" s="8">
        <v>15.9</v>
      </c>
      <c r="V64" s="8"/>
      <c r="W64" s="8" t="s">
        <v>59</v>
      </c>
      <c r="AE64" s="31"/>
      <c r="AG64" s="8"/>
      <c r="AH64" s="8"/>
    </row>
    <row r="65" spans="1:34" x14ac:dyDescent="0.25">
      <c r="A65" s="33" t="s">
        <v>85</v>
      </c>
      <c r="B65" s="25" t="s">
        <v>18</v>
      </c>
      <c r="C65" s="26">
        <v>11.25</v>
      </c>
      <c r="E65" s="26" t="s">
        <v>59</v>
      </c>
      <c r="O65" s="8"/>
      <c r="P65" s="8"/>
      <c r="S65" s="31" t="s">
        <v>182</v>
      </c>
      <c r="T65" t="s">
        <v>117</v>
      </c>
      <c r="U65" s="8">
        <v>17.989999999999998</v>
      </c>
      <c r="V65" s="8"/>
      <c r="W65" s="8" t="s">
        <v>59</v>
      </c>
      <c r="AE65" s="31"/>
      <c r="AG65" s="8"/>
      <c r="AH65" s="8"/>
    </row>
    <row r="66" spans="1:34" x14ac:dyDescent="0.25">
      <c r="A66" s="33" t="s">
        <v>86</v>
      </c>
      <c r="B66" s="25" t="s">
        <v>18</v>
      </c>
      <c r="C66" s="26">
        <v>33.9</v>
      </c>
      <c r="E66" s="26" t="s">
        <v>59</v>
      </c>
      <c r="O66" s="8"/>
      <c r="P66" s="8"/>
      <c r="U66" s="8"/>
      <c r="V66" s="8"/>
      <c r="AE66" s="31"/>
      <c r="AG66" s="8"/>
      <c r="AH66" s="8"/>
    </row>
    <row r="67" spans="1:34" x14ac:dyDescent="0.25">
      <c r="O67" s="8"/>
      <c r="P67" s="8"/>
      <c r="U67" s="8"/>
      <c r="V67" s="8"/>
      <c r="AE67" s="31"/>
      <c r="AG67" s="8"/>
      <c r="AH67" s="8"/>
    </row>
    <row r="68" spans="1:34" x14ac:dyDescent="0.25">
      <c r="O68" s="8"/>
      <c r="P68" s="8"/>
      <c r="U68" s="8"/>
      <c r="V68" s="8"/>
      <c r="AE68" s="31"/>
      <c r="AG68" s="8"/>
      <c r="AH68" s="8"/>
    </row>
    <row r="69" spans="1:34" x14ac:dyDescent="0.25">
      <c r="O69" s="8"/>
      <c r="P69" s="8"/>
      <c r="U69" s="8"/>
      <c r="V69" s="8"/>
      <c r="AE69" s="31"/>
      <c r="AG69" s="8"/>
      <c r="AH69" s="8"/>
    </row>
    <row r="70" spans="1:34" x14ac:dyDescent="0.25">
      <c r="O70" s="8"/>
      <c r="P70" s="8"/>
      <c r="U70" s="8"/>
      <c r="V70" s="8"/>
      <c r="AE70" s="31"/>
      <c r="AG70" s="8"/>
      <c r="AH70" s="8"/>
    </row>
    <row r="71" spans="1:34" x14ac:dyDescent="0.25">
      <c r="O71" s="8"/>
      <c r="P71" s="8"/>
      <c r="U71" s="8"/>
      <c r="V71" s="8"/>
      <c r="AE71" s="31"/>
      <c r="AG71" s="8"/>
      <c r="AH71" s="8"/>
    </row>
    <row r="72" spans="1:34" x14ac:dyDescent="0.25">
      <c r="O72" s="8"/>
      <c r="P72" s="8"/>
      <c r="U72" s="8"/>
      <c r="V72" s="8"/>
      <c r="AE72" s="31"/>
      <c r="AG72" s="8"/>
      <c r="AH72" s="8"/>
    </row>
    <row r="73" spans="1:34" x14ac:dyDescent="0.25">
      <c r="O73" s="8"/>
      <c r="P73" s="8"/>
      <c r="U73" s="8"/>
      <c r="V73" s="8"/>
      <c r="AE73" s="31"/>
      <c r="AG73" s="8"/>
      <c r="AH73" s="8"/>
    </row>
    <row r="74" spans="1:34" x14ac:dyDescent="0.25">
      <c r="O74" s="8"/>
      <c r="P74" s="8"/>
      <c r="U74" s="8"/>
      <c r="V74" s="8"/>
      <c r="AE74" s="31"/>
      <c r="AG74" s="8"/>
      <c r="AH74" s="8"/>
    </row>
    <row r="75" spans="1:34" x14ac:dyDescent="0.25">
      <c r="O75" s="8"/>
      <c r="P75" s="8"/>
      <c r="U75" s="8"/>
      <c r="V75" s="8"/>
      <c r="AE75" s="31"/>
      <c r="AG75" s="8"/>
      <c r="AH75" s="8"/>
    </row>
    <row r="76" spans="1:34" x14ac:dyDescent="0.25">
      <c r="O76" s="8"/>
      <c r="P76" s="8"/>
      <c r="U76" s="8"/>
      <c r="V76" s="8"/>
      <c r="AE76" s="31"/>
      <c r="AG76" s="8"/>
      <c r="AH76" s="8"/>
    </row>
    <row r="77" spans="1:34" x14ac:dyDescent="0.25">
      <c r="O77" s="8"/>
      <c r="P77" s="8"/>
      <c r="U77" s="8"/>
      <c r="V77" s="8"/>
      <c r="AE77" s="31"/>
      <c r="AG77" s="8"/>
      <c r="AH77" s="8"/>
    </row>
    <row r="78" spans="1:34" x14ac:dyDescent="0.25">
      <c r="B78" s="25"/>
      <c r="O78" s="8"/>
      <c r="P78" s="8"/>
      <c r="U78" s="8"/>
      <c r="V78" s="8"/>
      <c r="AE78" s="31"/>
      <c r="AG78" s="8"/>
      <c r="AH78" s="8"/>
    </row>
    <row r="79" spans="1:34" x14ac:dyDescent="0.25">
      <c r="B79" s="25"/>
      <c r="O79" s="8"/>
      <c r="P79" s="8"/>
      <c r="U79" s="8"/>
      <c r="V79" s="8"/>
      <c r="AE79" s="31"/>
      <c r="AG79" s="8"/>
      <c r="AH79" s="8"/>
    </row>
    <row r="80" spans="1:34" x14ac:dyDescent="0.25">
      <c r="B80" s="25"/>
      <c r="O80" s="8"/>
      <c r="P80" s="8"/>
      <c r="U80" s="8"/>
      <c r="V80" s="8"/>
      <c r="AE80" s="31"/>
      <c r="AG80" s="8"/>
      <c r="AH80" s="8"/>
    </row>
    <row r="81" spans="2:34" x14ac:dyDescent="0.25">
      <c r="B81" s="25"/>
      <c r="O81" s="8"/>
      <c r="P81" s="8"/>
      <c r="U81" s="8"/>
      <c r="V81" s="8"/>
      <c r="AE81" s="31"/>
      <c r="AG81" s="8"/>
      <c r="AH81" s="8"/>
    </row>
    <row r="82" spans="2:34" x14ac:dyDescent="0.25">
      <c r="B82" s="25"/>
      <c r="O82" s="8"/>
      <c r="P82" s="8"/>
      <c r="U82" s="8"/>
      <c r="V82" s="8"/>
      <c r="AE82" s="31"/>
      <c r="AG82" s="8"/>
      <c r="AH82" s="8"/>
    </row>
    <row r="83" spans="2:34" x14ac:dyDescent="0.25">
      <c r="B83" s="25"/>
      <c r="U83" s="8"/>
      <c r="V83" s="8"/>
      <c r="AE83" s="31"/>
      <c r="AG83" s="8"/>
      <c r="AH83" s="8"/>
    </row>
    <row r="84" spans="2:34" x14ac:dyDescent="0.25">
      <c r="B84" s="25"/>
      <c r="U84" s="8"/>
      <c r="V84" s="8"/>
      <c r="AE84" s="31"/>
      <c r="AG84" s="8"/>
      <c r="AH84" s="8"/>
    </row>
    <row r="85" spans="2:34" x14ac:dyDescent="0.25">
      <c r="B85" s="25"/>
      <c r="U85" s="8"/>
      <c r="V85" s="8"/>
      <c r="AE85" s="31"/>
      <c r="AG85" s="8"/>
      <c r="AH85" s="8"/>
    </row>
    <row r="86" spans="2:34" x14ac:dyDescent="0.25">
      <c r="B86" s="25"/>
      <c r="U86" s="8"/>
      <c r="V86" s="8"/>
      <c r="AE86" s="31"/>
      <c r="AG86" s="8"/>
      <c r="AH86" s="8"/>
    </row>
    <row r="87" spans="2:34" x14ac:dyDescent="0.25">
      <c r="B87" s="25"/>
      <c r="U87" s="8"/>
      <c r="V87" s="8"/>
      <c r="AE87" s="31"/>
      <c r="AG87" s="8"/>
      <c r="AH87" s="8"/>
    </row>
    <row r="88" spans="2:34" x14ac:dyDescent="0.25">
      <c r="B88" s="25"/>
      <c r="U88" s="8"/>
      <c r="V88" s="8"/>
      <c r="AE88" s="31"/>
      <c r="AG88" s="8"/>
      <c r="AH88" s="8"/>
    </row>
    <row r="89" spans="2:34" x14ac:dyDescent="0.25">
      <c r="B89" s="25"/>
      <c r="U89" s="8"/>
      <c r="V89" s="8"/>
      <c r="AE89" s="31"/>
      <c r="AG89" s="8"/>
      <c r="AH89" s="8"/>
    </row>
    <row r="90" spans="2:34" x14ac:dyDescent="0.25">
      <c r="U90" s="8"/>
      <c r="V90" s="8"/>
      <c r="AE90" s="31"/>
      <c r="AG90" s="8"/>
      <c r="AH90" s="8"/>
    </row>
    <row r="91" spans="2:34" x14ac:dyDescent="0.25">
      <c r="U91" s="8"/>
      <c r="V91" s="8"/>
      <c r="AE91" s="31"/>
      <c r="AG91" s="8"/>
      <c r="AH91" s="8"/>
    </row>
    <row r="92" spans="2:34" x14ac:dyDescent="0.25">
      <c r="U92" s="8"/>
      <c r="V92" s="8"/>
      <c r="AE92" s="31"/>
      <c r="AG92" s="8"/>
      <c r="AH92" s="8"/>
    </row>
    <row r="93" spans="2:34" x14ac:dyDescent="0.25">
      <c r="U93" s="8"/>
      <c r="V93" s="8"/>
      <c r="AE93" s="31"/>
      <c r="AG93" s="8"/>
      <c r="AH93" s="8"/>
    </row>
    <row r="94" spans="2:34" x14ac:dyDescent="0.25">
      <c r="B94" s="25"/>
      <c r="U94" s="8"/>
      <c r="V94" s="8"/>
      <c r="AE94" s="31"/>
      <c r="AG94" s="8"/>
      <c r="AH94" s="8"/>
    </row>
    <row r="95" spans="2:34" x14ac:dyDescent="0.25">
      <c r="B95" s="25"/>
      <c r="U95" s="8"/>
      <c r="V95" s="8"/>
      <c r="AE95" s="31"/>
      <c r="AG95" s="8"/>
      <c r="AH95" s="8"/>
    </row>
    <row r="96" spans="2:34" x14ac:dyDescent="0.25">
      <c r="B96" s="25"/>
      <c r="U96" s="8"/>
      <c r="V96" s="8"/>
      <c r="AE96" s="31"/>
      <c r="AG96" s="8"/>
      <c r="AH96" s="8"/>
    </row>
    <row r="97" spans="1:35" x14ac:dyDescent="0.25">
      <c r="B97" s="25"/>
      <c r="U97" s="8"/>
      <c r="V97" s="8"/>
      <c r="AE97" s="31"/>
      <c r="AG97" s="8"/>
      <c r="AH97" s="8"/>
    </row>
    <row r="98" spans="1:35" x14ac:dyDescent="0.25">
      <c r="B98" s="25"/>
      <c r="U98" s="8"/>
      <c r="V98" s="8"/>
      <c r="AE98" s="31"/>
      <c r="AG98" s="8"/>
      <c r="AH98" s="8"/>
    </row>
    <row r="99" spans="1:35" x14ac:dyDescent="0.25">
      <c r="B99" s="25"/>
      <c r="U99" s="8"/>
      <c r="V99" s="8"/>
      <c r="AE99" s="31"/>
      <c r="AG99" s="8"/>
      <c r="AH99" s="8"/>
    </row>
    <row r="100" spans="1:35" x14ac:dyDescent="0.25">
      <c r="A100" s="34"/>
      <c r="B100" s="23"/>
      <c r="C100" s="24"/>
      <c r="D100" s="24"/>
      <c r="E100" s="25"/>
      <c r="U100" s="8"/>
      <c r="V100" s="8"/>
      <c r="AE100" s="31"/>
      <c r="AG100" s="8"/>
      <c r="AH100" s="8"/>
    </row>
    <row r="101" spans="1:35" x14ac:dyDescent="0.25">
      <c r="U101" s="8"/>
      <c r="V101" s="8"/>
      <c r="AE101" s="31"/>
      <c r="AG101" s="8"/>
      <c r="AH101" s="8"/>
      <c r="AI101" s="8"/>
    </row>
    <row r="102" spans="1:35" x14ac:dyDescent="0.25">
      <c r="U102" s="8"/>
      <c r="V102" s="8"/>
      <c r="AE102" s="31"/>
      <c r="AG102" s="8"/>
      <c r="AH102" s="8"/>
      <c r="AI102" s="8"/>
    </row>
    <row r="103" spans="1:35" x14ac:dyDescent="0.25">
      <c r="U103" s="8"/>
      <c r="V103" s="8"/>
      <c r="AE103" s="31"/>
      <c r="AG103" s="8"/>
      <c r="AH103" s="8"/>
      <c r="AI103" s="8"/>
    </row>
    <row r="104" spans="1:35" x14ac:dyDescent="0.25">
      <c r="U104" s="8"/>
      <c r="V104" s="8"/>
      <c r="AE104" s="31"/>
      <c r="AG104" s="8"/>
      <c r="AH104" s="8"/>
      <c r="AI104" s="8"/>
    </row>
    <row r="105" spans="1:35" x14ac:dyDescent="0.25">
      <c r="U105" s="8"/>
      <c r="V105" s="8"/>
      <c r="AE105" s="31"/>
      <c r="AG105" s="8"/>
      <c r="AH105" s="8"/>
      <c r="AI105" s="8"/>
    </row>
    <row r="106" spans="1:35" x14ac:dyDescent="0.25">
      <c r="U106" s="8"/>
      <c r="V106" s="8"/>
      <c r="AE106" s="31"/>
      <c r="AG106" s="8"/>
      <c r="AH106" s="8"/>
    </row>
    <row r="107" spans="1:35" x14ac:dyDescent="0.25">
      <c r="U107" s="8"/>
      <c r="V107" s="8"/>
      <c r="AE107" s="31"/>
      <c r="AG107" s="8"/>
      <c r="AH107" s="8"/>
      <c r="AI107" s="8"/>
    </row>
    <row r="108" spans="1:35" x14ac:dyDescent="0.25">
      <c r="U108" s="8"/>
      <c r="V108" s="8"/>
      <c r="AE108" s="31"/>
      <c r="AG108" s="8"/>
      <c r="AH108" s="8"/>
      <c r="AI108" s="8"/>
    </row>
    <row r="109" spans="1:35" x14ac:dyDescent="0.25">
      <c r="U109" s="8"/>
      <c r="V109" s="8"/>
      <c r="AE109" s="31"/>
      <c r="AG109" s="8"/>
      <c r="AH109" s="8"/>
      <c r="AI109" s="8"/>
    </row>
    <row r="110" spans="1:35" x14ac:dyDescent="0.25">
      <c r="U110" s="8"/>
      <c r="V110" s="8"/>
    </row>
    <row r="111" spans="1:35" x14ac:dyDescent="0.25">
      <c r="U111" s="8"/>
      <c r="V111" s="8"/>
    </row>
    <row r="112" spans="1:35" x14ac:dyDescent="0.25">
      <c r="U112" s="8"/>
      <c r="V112" s="8"/>
    </row>
    <row r="113" spans="21:22" x14ac:dyDescent="0.25">
      <c r="U113" s="8"/>
      <c r="V113" s="8"/>
    </row>
    <row r="114" spans="21:22" x14ac:dyDescent="0.25">
      <c r="U114" s="8"/>
      <c r="V114" s="8"/>
    </row>
    <row r="115" spans="21:22" x14ac:dyDescent="0.25">
      <c r="U115" s="8"/>
      <c r="V115" s="8"/>
    </row>
    <row r="116" spans="21:22" x14ac:dyDescent="0.25">
      <c r="U116" s="8"/>
      <c r="V116" s="8"/>
    </row>
    <row r="117" spans="21:22" x14ac:dyDescent="0.25">
      <c r="U117" s="8"/>
      <c r="V117" s="8"/>
    </row>
    <row r="118" spans="21:22" x14ac:dyDescent="0.25">
      <c r="U118" s="8"/>
      <c r="V118" s="8"/>
    </row>
    <row r="119" spans="21:22" x14ac:dyDescent="0.25">
      <c r="U119" s="8"/>
      <c r="V119" s="8"/>
    </row>
    <row r="120" spans="21:22" x14ac:dyDescent="0.25">
      <c r="U120" s="8"/>
      <c r="V120" s="8"/>
    </row>
    <row r="121" spans="21:22" x14ac:dyDescent="0.25">
      <c r="U121" s="8"/>
      <c r="V121" s="8"/>
    </row>
    <row r="122" spans="21:22" x14ac:dyDescent="0.25">
      <c r="U122" s="8"/>
      <c r="V122" s="8"/>
    </row>
    <row r="123" spans="21:22" x14ac:dyDescent="0.25">
      <c r="U123" s="8"/>
      <c r="V123" s="8"/>
    </row>
    <row r="124" spans="21:22" x14ac:dyDescent="0.25">
      <c r="U124" s="8"/>
      <c r="V124" s="8"/>
    </row>
    <row r="125" spans="21:22" x14ac:dyDescent="0.25">
      <c r="U125" s="8"/>
      <c r="V125" s="8"/>
    </row>
    <row r="126" spans="21:22" x14ac:dyDescent="0.25">
      <c r="U126" s="8"/>
      <c r="V126" s="8"/>
    </row>
    <row r="127" spans="21:22" x14ac:dyDescent="0.25">
      <c r="U127" s="8"/>
      <c r="V127" s="8"/>
    </row>
    <row r="128" spans="21:22" x14ac:dyDescent="0.25">
      <c r="U128" s="8"/>
      <c r="V128" s="8"/>
    </row>
    <row r="129" spans="1:22" x14ac:dyDescent="0.25">
      <c r="U129" s="8"/>
      <c r="V129" s="8"/>
    </row>
    <row r="130" spans="1:22" x14ac:dyDescent="0.25">
      <c r="U130" s="8"/>
      <c r="V130" s="8"/>
    </row>
    <row r="131" spans="1:22" x14ac:dyDescent="0.25">
      <c r="A131" s="33"/>
      <c r="B131" s="25"/>
      <c r="C131" s="26"/>
      <c r="E131" s="26"/>
      <c r="U131" s="8"/>
      <c r="V131" s="8"/>
    </row>
    <row r="132" spans="1:22" x14ac:dyDescent="0.25">
      <c r="U132" s="8"/>
      <c r="V132" s="8"/>
    </row>
    <row r="133" spans="1:22" x14ac:dyDescent="0.25">
      <c r="U133" s="8"/>
      <c r="V133" s="8"/>
    </row>
    <row r="134" spans="1:22" x14ac:dyDescent="0.25">
      <c r="U134" s="8"/>
      <c r="V134" s="8"/>
    </row>
    <row r="135" spans="1:22" x14ac:dyDescent="0.25">
      <c r="U135" s="8"/>
      <c r="V135" s="8"/>
    </row>
    <row r="136" spans="1:22" x14ac:dyDescent="0.25">
      <c r="U136" s="8"/>
      <c r="V136" s="8"/>
    </row>
    <row r="137" spans="1:22" x14ac:dyDescent="0.25">
      <c r="U137" s="8"/>
      <c r="V137" s="8"/>
    </row>
    <row r="138" spans="1:22" x14ac:dyDescent="0.25">
      <c r="U138" s="8"/>
      <c r="V138" s="8"/>
    </row>
    <row r="139" spans="1:22" x14ac:dyDescent="0.25">
      <c r="U139" s="8"/>
      <c r="V139" s="8"/>
    </row>
    <row r="140" spans="1:22" x14ac:dyDescent="0.25">
      <c r="U140" s="8"/>
      <c r="V140" s="8"/>
    </row>
    <row r="141" spans="1:22" x14ac:dyDescent="0.25">
      <c r="U141" s="8"/>
      <c r="V141" s="8"/>
    </row>
    <row r="142" spans="1:22" x14ac:dyDescent="0.25">
      <c r="U142" s="8"/>
      <c r="V142" s="8"/>
    </row>
    <row r="143" spans="1:22" x14ac:dyDescent="0.25">
      <c r="U143" s="8"/>
      <c r="V143" s="8"/>
    </row>
    <row r="144" spans="1:22" x14ac:dyDescent="0.25">
      <c r="U144" s="8"/>
      <c r="V144" s="8"/>
    </row>
    <row r="145" spans="21:22" x14ac:dyDescent="0.25">
      <c r="U145" s="8"/>
      <c r="V145" s="8"/>
    </row>
    <row r="146" spans="21:22" x14ac:dyDescent="0.25">
      <c r="U146" s="8"/>
      <c r="V146" s="8"/>
    </row>
    <row r="147" spans="21:22" x14ac:dyDescent="0.25">
      <c r="U147" s="8"/>
      <c r="V147" s="8"/>
    </row>
    <row r="148" spans="21:22" x14ac:dyDescent="0.25">
      <c r="U148" s="8"/>
      <c r="V148" s="8"/>
    </row>
    <row r="149" spans="21:22" x14ac:dyDescent="0.25">
      <c r="U149" s="8"/>
      <c r="V149" s="8"/>
    </row>
    <row r="150" spans="21:22" x14ac:dyDescent="0.25">
      <c r="U150" s="8"/>
      <c r="V150" s="8"/>
    </row>
    <row r="151" spans="21:22" x14ac:dyDescent="0.25">
      <c r="U151" s="8"/>
      <c r="V151" s="8"/>
    </row>
    <row r="152" spans="21:22" x14ac:dyDescent="0.25">
      <c r="U152" s="8"/>
      <c r="V152" s="8"/>
    </row>
    <row r="153" spans="21:22" x14ac:dyDescent="0.25">
      <c r="U153" s="8"/>
      <c r="V153" s="8"/>
    </row>
    <row r="154" spans="21:22" x14ac:dyDescent="0.25">
      <c r="U154" s="8"/>
      <c r="V154" s="8"/>
    </row>
    <row r="155" spans="21:22" x14ac:dyDescent="0.25">
      <c r="U155" s="8"/>
      <c r="V155" s="8"/>
    </row>
    <row r="156" spans="21:22" x14ac:dyDescent="0.25">
      <c r="U156" s="8"/>
      <c r="V156" s="8"/>
    </row>
    <row r="157" spans="21:22" x14ac:dyDescent="0.25">
      <c r="U157" s="8"/>
      <c r="V157" s="8"/>
    </row>
    <row r="158" spans="21:22" x14ac:dyDescent="0.25">
      <c r="U158" s="8"/>
      <c r="V158" s="8"/>
    </row>
    <row r="159" spans="21:22" x14ac:dyDescent="0.25">
      <c r="U159" s="8"/>
      <c r="V159" s="8"/>
    </row>
    <row r="160" spans="21:22" x14ac:dyDescent="0.25">
      <c r="U160" s="8"/>
      <c r="V160" s="8"/>
    </row>
    <row r="161" spans="21:22" x14ac:dyDescent="0.25">
      <c r="U161" s="8"/>
      <c r="V161" s="8"/>
    </row>
    <row r="162" spans="21:22" x14ac:dyDescent="0.25">
      <c r="U162" s="8"/>
      <c r="V162" s="8"/>
    </row>
    <row r="163" spans="21:22" x14ac:dyDescent="0.25">
      <c r="U163" s="8"/>
      <c r="V163" s="8"/>
    </row>
    <row r="164" spans="21:22" x14ac:dyDescent="0.25">
      <c r="U164" s="8"/>
      <c r="V164" s="8"/>
    </row>
    <row r="165" spans="21:22" x14ac:dyDescent="0.25">
      <c r="U165" s="8"/>
      <c r="V165" s="8"/>
    </row>
    <row r="166" spans="21:22" x14ac:dyDescent="0.25">
      <c r="U166" s="8"/>
      <c r="V166" s="8"/>
    </row>
    <row r="167" spans="21:22" x14ac:dyDescent="0.25">
      <c r="U167" s="8"/>
      <c r="V167" s="8"/>
    </row>
    <row r="168" spans="21:22" x14ac:dyDescent="0.25">
      <c r="U168" s="8"/>
      <c r="V168" s="8"/>
    </row>
    <row r="169" spans="21:22" x14ac:dyDescent="0.25">
      <c r="U169" s="8"/>
      <c r="V169" s="8"/>
    </row>
    <row r="170" spans="21:22" x14ac:dyDescent="0.25">
      <c r="U170" s="8"/>
      <c r="V170" s="8"/>
    </row>
    <row r="171" spans="21:22" x14ac:dyDescent="0.25">
      <c r="U171" s="8"/>
      <c r="V171" s="8"/>
    </row>
    <row r="172" spans="21:22" x14ac:dyDescent="0.25">
      <c r="U172" s="8"/>
      <c r="V172" s="8"/>
    </row>
    <row r="173" spans="21:22" x14ac:dyDescent="0.25">
      <c r="U173" s="8"/>
      <c r="V173" s="8"/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B9095A-B644-424A-8CEE-5E21733B8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23</vt:i4>
      </vt:variant>
    </vt:vector>
  </HeadingPairs>
  <TitlesOfParts>
    <vt:vector size="28" baseType="lpstr">
      <vt:lpstr>Pedido</vt:lpstr>
      <vt:lpstr>Registro</vt:lpstr>
      <vt:lpstr>Proveedores</vt:lpstr>
      <vt:lpstr>Categorias</vt:lpstr>
      <vt:lpstr>Productos</vt:lpstr>
      <vt:lpstr>Pedido!Área_de_impresión</vt:lpstr>
      <vt:lpstr>GINEBRAS</vt:lpstr>
      <vt:lpstr>GINEBRAS_ALMACENES_MOURE</vt:lpstr>
      <vt:lpstr>GINEBRAS_CASH</vt:lpstr>
      <vt:lpstr>LICORES</vt:lpstr>
      <vt:lpstr>LICORES_ALMACENES_MOURE</vt:lpstr>
      <vt:lpstr>LICORES_CASH</vt:lpstr>
      <vt:lpstr>Proveedor</vt:lpstr>
      <vt:lpstr>RONES</vt:lpstr>
      <vt:lpstr>RONES_ALMACENES_MOURE</vt:lpstr>
      <vt:lpstr>RONES_CASH</vt:lpstr>
      <vt:lpstr>TEQUILAS</vt:lpstr>
      <vt:lpstr>TEQUILAS_ALMACENES_MOURE</vt:lpstr>
      <vt:lpstr>TEQUILAS_CASH</vt:lpstr>
      <vt:lpstr>VERMOUTHS</vt:lpstr>
      <vt:lpstr>VERMOUTHS_ALMACENES_MOURE</vt:lpstr>
      <vt:lpstr>VERMOUTHS_CASH</vt:lpstr>
      <vt:lpstr>VODKAS</vt:lpstr>
      <vt:lpstr>VODKAS_ALMACENES_MOURE</vt:lpstr>
      <vt:lpstr>VODKAS_CASH</vt:lpstr>
      <vt:lpstr>WHISKYS</vt:lpstr>
      <vt:lpstr>WHISKYS_ALMACENES_MOURE</vt:lpstr>
      <vt:lpstr>WHISKYS_CASH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rondon</dc:creator>
  <cp:lastModifiedBy>aaron rondon</cp:lastModifiedBy>
  <cp:lastPrinted>2024-08-11T14:29:27Z</cp:lastPrinted>
  <dcterms:created xsi:type="dcterms:W3CDTF">2024-07-17T13:52:15Z</dcterms:created>
  <dcterms:modified xsi:type="dcterms:W3CDTF">2024-08-11T14:33:32Z</dcterms:modified>
</cp:coreProperties>
</file>